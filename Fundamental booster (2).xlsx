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qMw5Y+b5tkhyPjL6pMOly4CIY2Bw9izyBW0q7Xmc2tc="/>
    </ext>
  </extLst>
</workbook>
</file>

<file path=xl/sharedStrings.xml><?xml version="1.0" encoding="utf-8"?>
<sst xmlns="http://schemas.openxmlformats.org/spreadsheetml/2006/main" count="211" uniqueCount="100">
  <si>
    <t>Student ID</t>
  </si>
  <si>
    <t>Name</t>
  </si>
  <si>
    <t>Math</t>
  </si>
  <si>
    <t>Science</t>
  </si>
  <si>
    <t>English</t>
  </si>
  <si>
    <t>Enrollment Date</t>
  </si>
  <si>
    <t>Total  Marks</t>
  </si>
  <si>
    <t>Total Persentage</t>
  </si>
  <si>
    <t>Result</t>
  </si>
  <si>
    <t>grade</t>
  </si>
  <si>
    <t>Above 80 In maths &amp; science</t>
  </si>
  <si>
    <t>AVG ABOVE 60 IN(All)</t>
  </si>
  <si>
    <t>Student Performance</t>
  </si>
  <si>
    <t xml:space="preserve">days </t>
  </si>
  <si>
    <t>Prithwi</t>
  </si>
  <si>
    <t>Roshan</t>
  </si>
  <si>
    <t xml:space="preserve">Devil </t>
  </si>
  <si>
    <t>Shiv</t>
  </si>
  <si>
    <t>Krishna</t>
  </si>
  <si>
    <t>Ram</t>
  </si>
  <si>
    <t>Rahul</t>
  </si>
  <si>
    <t>Anand</t>
  </si>
  <si>
    <t>Sam</t>
  </si>
  <si>
    <t>Arav</t>
  </si>
  <si>
    <t>Madhu</t>
  </si>
  <si>
    <t>Dany</t>
  </si>
  <si>
    <t>Dragon</t>
  </si>
  <si>
    <t>Darshan</t>
  </si>
  <si>
    <t>Raj</t>
  </si>
  <si>
    <t>Radha</t>
  </si>
  <si>
    <t>Som</t>
  </si>
  <si>
    <t>Asmita</t>
  </si>
  <si>
    <t>Nitesh</t>
  </si>
  <si>
    <t>Rohit</t>
  </si>
  <si>
    <t>Above &gt;50 in maths</t>
  </si>
  <si>
    <t xml:space="preserve"> Students</t>
  </si>
  <si>
    <t xml:space="preserve">X Look UP Show All Subjects Marks </t>
  </si>
  <si>
    <t>V Look Up Cell</t>
  </si>
  <si>
    <t>Student Id</t>
  </si>
  <si>
    <t>Student Name</t>
  </si>
  <si>
    <t>Max Marks In Subjects (Indirect)</t>
  </si>
  <si>
    <t>Maths</t>
  </si>
  <si>
    <t>Sales ID</t>
  </si>
  <si>
    <t>Product</t>
  </si>
  <si>
    <t>Region</t>
  </si>
  <si>
    <t>Salesperson</t>
  </si>
  <si>
    <t>Amount</t>
  </si>
  <si>
    <t>Date</t>
  </si>
  <si>
    <t>Months</t>
  </si>
  <si>
    <t>Clasify Discount</t>
  </si>
  <si>
    <t xml:space="preserve"> Discount Eligibility</t>
  </si>
  <si>
    <t>Keyboard</t>
  </si>
  <si>
    <t>South</t>
  </si>
  <si>
    <t>Printer</t>
  </si>
  <si>
    <t>West</t>
  </si>
  <si>
    <t>Mouse</t>
  </si>
  <si>
    <t>East</t>
  </si>
  <si>
    <t>North</t>
  </si>
  <si>
    <t>Monitor</t>
  </si>
  <si>
    <t>Laptop</t>
  </si>
  <si>
    <t>VLOOK UP (Price)</t>
  </si>
  <si>
    <t>Total Sales all region  (Keybord)</t>
  </si>
  <si>
    <t>Sum If Of (Printer And Mouse)</t>
  </si>
  <si>
    <t xml:space="preserve">Printer </t>
  </si>
  <si>
    <t>Product price</t>
  </si>
  <si>
    <t xml:space="preserve">Index and match salesperson </t>
  </si>
  <si>
    <t>Salesperson performance(Devil)</t>
  </si>
  <si>
    <t>Sales Person</t>
  </si>
  <si>
    <t>X look up priduct name(by id)</t>
  </si>
  <si>
    <t>Devil perform</t>
  </si>
  <si>
    <t>Product name</t>
  </si>
  <si>
    <t>s</t>
  </si>
  <si>
    <t>Position Of Product By X match</t>
  </si>
  <si>
    <t>Dynamic Offset(Avg  Of 1st 5 Data)</t>
  </si>
  <si>
    <t>Employee ID</t>
  </si>
  <si>
    <t>Department</t>
  </si>
  <si>
    <t>Salary</t>
  </si>
  <si>
    <t>Joining Date</t>
  </si>
  <si>
    <t>upper name</t>
  </si>
  <si>
    <t>Since Joining (days)</t>
  </si>
  <si>
    <t>Bonus</t>
  </si>
  <si>
    <t>Bonus %</t>
  </si>
  <si>
    <t>Finance</t>
  </si>
  <si>
    <t>HR</t>
  </si>
  <si>
    <t>IT</t>
  </si>
  <si>
    <t>Marketing</t>
  </si>
  <si>
    <t>Count If Num of salary &gt;80000</t>
  </si>
  <si>
    <t xml:space="preserve">Dept Name </t>
  </si>
  <si>
    <t>&gt;80000 count</t>
  </si>
  <si>
    <t>Emp salary &gt; 100000 rs</t>
  </si>
  <si>
    <t>Emp ID</t>
  </si>
  <si>
    <t>Emp Name</t>
  </si>
  <si>
    <t>Vlookup salary by emp id</t>
  </si>
  <si>
    <t>Indirect Dept Selection (Salary)</t>
  </si>
  <si>
    <t>Emp  ID</t>
  </si>
  <si>
    <t>Dept name</t>
  </si>
  <si>
    <t>salary</t>
  </si>
  <si>
    <t>Total Salary</t>
  </si>
  <si>
    <t>Off set (Top 10 avg)</t>
  </si>
  <si>
    <t>Avg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</si>
</sst>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₹&quot;\ #,##0.00"/>
  </numFmts>
  <fonts count="7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00B0F0"/>
        <bgColor rgb="FF00B0F0"/>
      </patternFill>
    </fill>
    <fill>
      <patternFill patternType="solid">
        <fgColor rgb="FFDADADA"/>
        <bgColor rgb="FFDADADA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7F7F7F"/>
        <bgColor rgb="FF7F7F7F"/>
      </patternFill>
    </fill>
    <fill>
      <patternFill patternType="solid">
        <fgColor rgb="FFC8C8C8"/>
        <bgColor rgb="FFC8C8C8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</fills>
  <borders count="20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4" fontId="3" numFmtId="2" xfId="0" applyAlignment="1" applyBorder="1" applyFill="1" applyFont="1" applyNumberFormat="1">
      <alignment horizontal="center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top"/>
    </xf>
    <xf borderId="4" fillId="4" fontId="3" numFmtId="2" xfId="0" applyBorder="1" applyFont="1" applyNumberFormat="1"/>
    <xf borderId="1" fillId="5" fontId="2" numFmtId="0" xfId="0" applyAlignment="1" applyBorder="1" applyFill="1" applyFont="1">
      <alignment horizontal="center" vertical="center"/>
    </xf>
    <xf borderId="1" fillId="5" fontId="2" numFmtId="2" xfId="0" applyAlignment="1" applyBorder="1" applyFont="1" applyNumberFormat="1">
      <alignment horizontal="center" vertical="center"/>
    </xf>
    <xf borderId="1" fillId="5" fontId="2" numFmtId="164" xfId="0" applyAlignment="1" applyBorder="1" applyFont="1" applyNumberFormat="1">
      <alignment horizontal="center" vertical="center"/>
    </xf>
    <xf borderId="1" fillId="6" fontId="3" numFmtId="2" xfId="0" applyAlignment="1" applyBorder="1" applyFill="1" applyFont="1" applyNumberFormat="1">
      <alignment horizontal="center"/>
    </xf>
    <xf borderId="1" fillId="6" fontId="3" numFmtId="0" xfId="0" applyAlignment="1" applyBorder="1" applyFont="1">
      <alignment horizontal="center"/>
    </xf>
    <xf borderId="1" fillId="6" fontId="3" numFmtId="0" xfId="0" applyAlignment="1" applyBorder="1" applyFont="1">
      <alignment horizontal="center" vertical="top"/>
    </xf>
    <xf borderId="4" fillId="6" fontId="3" numFmtId="2" xfId="0" applyBorder="1" applyFont="1" applyNumberFormat="1"/>
    <xf borderId="5" fillId="5" fontId="2" numFmtId="0" xfId="0" applyAlignment="1" applyBorder="1" applyFont="1">
      <alignment horizontal="center" vertical="center"/>
    </xf>
    <xf borderId="5" fillId="5" fontId="2" numFmtId="2" xfId="0" applyAlignment="1" applyBorder="1" applyFont="1" applyNumberFormat="1">
      <alignment horizontal="center" vertical="center"/>
    </xf>
    <xf borderId="5" fillId="5" fontId="2" numFmtId="164" xfId="0" applyAlignment="1" applyBorder="1" applyFont="1" applyNumberFormat="1">
      <alignment horizontal="center" vertical="center"/>
    </xf>
    <xf borderId="5" fillId="6" fontId="3" numFmtId="2" xfId="0" applyAlignment="1" applyBorder="1" applyFont="1" applyNumberFormat="1">
      <alignment horizontal="center"/>
    </xf>
    <xf borderId="5" fillId="6" fontId="3" numFmtId="0" xfId="0" applyAlignment="1" applyBorder="1" applyFont="1">
      <alignment horizontal="center"/>
    </xf>
    <xf borderId="5" fillId="6" fontId="3" numFmtId="0" xfId="0" applyAlignment="1" applyBorder="1" applyFont="1">
      <alignment horizontal="center" vertical="top"/>
    </xf>
    <xf borderId="6" fillId="6" fontId="3" numFmtId="2" xfId="0" applyBorder="1" applyFont="1" applyNumberFormat="1"/>
    <xf borderId="0" fillId="0" fontId="3" numFmtId="0" xfId="0" applyAlignment="1" applyFont="1">
      <alignment horizontal="center" vertical="center"/>
    </xf>
    <xf borderId="0" fillId="0" fontId="3" numFmtId="2" xfId="0" applyFont="1" applyNumberFormat="1"/>
    <xf borderId="7" fillId="7" fontId="4" numFmtId="0" xfId="0" applyAlignment="1" applyBorder="1" applyFill="1" applyFont="1">
      <alignment horizontal="center"/>
    </xf>
    <xf borderId="8" fillId="0" fontId="5" numFmtId="0" xfId="0" applyBorder="1" applyFont="1"/>
    <xf borderId="6" fillId="8" fontId="3" numFmtId="0" xfId="0" applyBorder="1" applyFill="1" applyFont="1"/>
    <xf borderId="7" fillId="9" fontId="3" numFmtId="0" xfId="0" applyAlignment="1" applyBorder="1" applyFill="1" applyFont="1">
      <alignment horizontal="center"/>
    </xf>
    <xf borderId="9" fillId="0" fontId="5" numFmtId="0" xfId="0" applyBorder="1" applyFont="1"/>
    <xf borderId="7" fillId="10" fontId="4" numFmtId="0" xfId="0" applyAlignment="1" applyBorder="1" applyFill="1" applyFont="1">
      <alignment horizontal="center"/>
    </xf>
    <xf borderId="7" fillId="11" fontId="3" numFmtId="0" xfId="0" applyAlignment="1" applyBorder="1" applyFill="1" applyFont="1">
      <alignment horizontal="center"/>
    </xf>
    <xf borderId="6" fillId="11" fontId="3" numFmtId="0" xfId="0" applyBorder="1" applyFont="1"/>
    <xf borderId="6" fillId="0" fontId="3" numFmtId="0" xfId="0" applyBorder="1" applyFont="1"/>
    <xf borderId="6" fillId="11" fontId="3" numFmtId="2" xfId="0" applyBorder="1" applyFont="1" applyNumberFormat="1"/>
    <xf borderId="6" fillId="0" fontId="3" numFmtId="0" xfId="0" applyAlignment="1" applyBorder="1" applyFont="1">
      <alignment horizontal="center"/>
    </xf>
    <xf borderId="7" fillId="12" fontId="3" numFmtId="0" xfId="0" applyAlignment="1" applyBorder="1" applyFill="1" applyFont="1">
      <alignment horizontal="center"/>
    </xf>
    <xf borderId="7" fillId="13" fontId="3" numFmtId="0" xfId="0" applyAlignment="1" applyBorder="1" applyFill="1" applyFont="1">
      <alignment horizontal="center"/>
    </xf>
    <xf borderId="6" fillId="13" fontId="3" numFmtId="2" xfId="0" applyBorder="1" applyFont="1" applyNumberFormat="1"/>
    <xf borderId="7" fillId="14" fontId="3" numFmtId="0" xfId="0" applyAlignment="1" applyBorder="1" applyFill="1" applyFont="1">
      <alignment horizontal="center"/>
    </xf>
    <xf borderId="6" fillId="14" fontId="3" numFmtId="0" xfId="0" applyBorder="1" applyFont="1"/>
    <xf borderId="6" fillId="14" fontId="3" numFmtId="0" xfId="0" applyAlignment="1" applyBorder="1" applyFont="1">
      <alignment horizontal="center"/>
    </xf>
    <xf borderId="10" fillId="15" fontId="1" numFmtId="0" xfId="0" applyAlignment="1" applyBorder="1" applyFill="1" applyFont="1">
      <alignment horizontal="center" vertical="center"/>
    </xf>
    <xf borderId="6" fillId="15" fontId="1" numFmtId="0" xfId="0" applyAlignment="1" applyBorder="1" applyFont="1">
      <alignment horizontal="center" vertical="center"/>
    </xf>
    <xf borderId="3" fillId="15" fontId="1" numFmtId="0" xfId="0" applyAlignment="1" applyBorder="1" applyFont="1">
      <alignment horizontal="center" vertical="center"/>
    </xf>
    <xf borderId="8" fillId="0" fontId="2" numFmtId="4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8" fillId="0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11" fillId="8" fontId="3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7" fillId="10" fontId="3" numFmtId="0" xfId="0" applyAlignment="1" applyBorder="1" applyFont="1">
      <alignment horizontal="center"/>
    </xf>
    <xf borderId="6" fillId="10" fontId="3" numFmtId="0" xfId="0" applyBorder="1" applyFont="1"/>
    <xf borderId="6" fillId="2" fontId="3" numFmtId="0" xfId="0" applyBorder="1" applyFont="1"/>
    <xf borderId="6" fillId="13" fontId="3" numFmtId="0" xfId="0" applyBorder="1" applyFont="1"/>
    <xf borderId="6" fillId="10" fontId="3" numFmtId="165" xfId="0" applyBorder="1" applyFont="1" applyNumberFormat="1"/>
    <xf borderId="7" fillId="16" fontId="3" numFmtId="0" xfId="0" applyAlignment="1" applyBorder="1" applyFill="1" applyFont="1">
      <alignment horizontal="center"/>
    </xf>
    <xf borderId="7" fillId="17" fontId="3" numFmtId="0" xfId="0" applyAlignment="1" applyBorder="1" applyFill="1" applyFont="1">
      <alignment horizontal="center"/>
    </xf>
    <xf borderId="6" fillId="17" fontId="3" numFmtId="0" xfId="0" applyBorder="1" applyFont="1"/>
    <xf borderId="0" fillId="0" fontId="6" numFmtId="0" xfId="0" applyFont="1"/>
    <xf borderId="14" fillId="15" fontId="1" numFmtId="0" xfId="0" applyAlignment="1" applyBorder="1" applyFont="1">
      <alignment horizontal="center" vertical="center"/>
    </xf>
    <xf borderId="15" fillId="15" fontId="1" numFmtId="0" xfId="0" applyAlignment="1" applyBorder="1" applyFont="1">
      <alignment horizontal="center" vertical="center"/>
    </xf>
    <xf borderId="16" fillId="15" fontId="1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6" fillId="0" fontId="3" numFmtId="2" xfId="0" applyAlignment="1" applyBorder="1" applyFont="1" applyNumberFormat="1">
      <alignment horizontal="center"/>
    </xf>
    <xf borderId="6" fillId="0" fontId="3" numFmtId="165" xfId="0" applyAlignment="1" applyBorder="1" applyFont="1" applyNumberFormat="1">
      <alignment horizontal="center"/>
    </xf>
    <xf borderId="7" fillId="0" fontId="3" numFmtId="10" xfId="0" applyAlignment="1" applyBorder="1" applyFont="1" applyNumberFormat="1">
      <alignment horizontal="center"/>
    </xf>
    <xf borderId="6" fillId="5" fontId="2" numFmtId="0" xfId="0" applyAlignment="1" applyBorder="1" applyFont="1">
      <alignment horizontal="center" vertical="center"/>
    </xf>
    <xf borderId="17" fillId="0" fontId="2" numFmtId="49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2" numFmtId="165" xfId="0" applyAlignment="1" applyBorder="1" applyFont="1" applyNumberFormat="1">
      <alignment horizontal="center" vertical="center"/>
    </xf>
    <xf borderId="18" fillId="0" fontId="2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/>
    </xf>
    <xf borderId="18" fillId="0" fontId="3" numFmtId="2" xfId="0" applyAlignment="1" applyBorder="1" applyFont="1" applyNumberFormat="1">
      <alignment horizontal="center"/>
    </xf>
    <xf borderId="18" fillId="0" fontId="3" numFmtId="165" xfId="0" applyAlignment="1" applyBorder="1" applyFont="1" applyNumberFormat="1">
      <alignment horizontal="center"/>
    </xf>
    <xf borderId="19" fillId="0" fontId="3" numFmtId="10" xfId="0" applyAlignment="1" applyBorder="1" applyFont="1" applyNumberFormat="1">
      <alignment horizontal="center"/>
    </xf>
    <xf borderId="0" fillId="0" fontId="3" numFmtId="164" xfId="0" applyFont="1" applyNumberFormat="1"/>
    <xf borderId="0" fillId="0" fontId="3" numFmtId="10" xfId="0" applyFont="1" applyNumberFormat="1"/>
    <xf borderId="6" fillId="18" fontId="3" numFmtId="0" xfId="0" applyBorder="1" applyFill="1" applyFont="1"/>
    <xf borderId="11" fillId="3" fontId="3" numFmtId="0" xfId="0" applyAlignment="1" applyBorder="1" applyFont="1">
      <alignment horizontal="center"/>
    </xf>
    <xf borderId="6" fillId="4" fontId="3" numFmtId="0" xfId="0" applyAlignment="1" applyBorder="1" applyFont="1">
      <alignment horizontal="center"/>
    </xf>
    <xf borderId="6" fillId="4" fontId="3" numFmtId="0" xfId="0" applyBorder="1" applyFont="1"/>
    <xf borderId="6" fillId="13" fontId="3" numFmtId="0" xfId="0" applyAlignment="1" applyBorder="1" applyFont="1">
      <alignment horizontal="center"/>
    </xf>
    <xf borderId="6" fillId="13" fontId="3" numFmtId="165" xfId="0" applyAlignment="1" applyBorder="1" applyFont="1" applyNumberFormat="1">
      <alignment horizontal="center"/>
    </xf>
    <xf borderId="7" fillId="19" fontId="3" numFmtId="0" xfId="0" applyAlignment="1" applyBorder="1" applyFill="1" applyFont="1">
      <alignment horizontal="center"/>
    </xf>
    <xf borderId="6" fillId="19" fontId="3" numFmtId="0" xfId="0" applyAlignment="1" applyBorder="1" applyFont="1">
      <alignment horizontal="center"/>
    </xf>
    <xf borderId="6" fillId="19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2">
    <tableStyle count="3" pivot="0" name="Sheet2-style">
      <tableStyleElement dxfId="1" type="headerRow"/>
      <tableStyleElement dxfId="2" type="firstRowStripe"/>
      <tableStyleElement dxfId="3" type="secondRowStripe"/>
    </tableStyle>
    <tableStyle count="3" pivot="0" name="Sheet3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J23" displayName="Table_1" name="Table_1" id="1">
  <tableColumns count="9">
    <tableColumn name="Sales ID" id="1"/>
    <tableColumn name="Product" id="2"/>
    <tableColumn name="Region" id="3"/>
    <tableColumn name="Salesperson" id="4"/>
    <tableColumn name="Amount" id="5"/>
    <tableColumn name="Date" id="6"/>
    <tableColumn name="Months" id="7"/>
    <tableColumn name="Clasify Discount" id="8"/>
    <tableColumn name=" Discount Eligibility" id="9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1:I21" displayName="Table_2" name="Table_2" id="2">
  <tableColumns count="9">
    <tableColumn name="Employee ID" id="1"/>
    <tableColumn name="Name" id="2"/>
    <tableColumn name="Department" id="3"/>
    <tableColumn name="Salary" id="4"/>
    <tableColumn name="Joining Date" id="5"/>
    <tableColumn name="upper name" id="6"/>
    <tableColumn name="Since Joining (days)" id="7"/>
    <tableColumn name="Bonus" id="8"/>
    <tableColumn name="Bonus %" id="9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10.29"/>
    <col customWidth="1" min="4" max="4" width="9.29"/>
    <col customWidth="1" min="5" max="5" width="12.29"/>
    <col customWidth="1" min="6" max="6" width="11.14"/>
    <col customWidth="1" min="7" max="7" width="21.71"/>
    <col customWidth="1" min="8" max="8" width="26.71"/>
    <col customWidth="1" min="9" max="9" width="21.71"/>
    <col customWidth="1" min="10" max="10" width="10.14"/>
    <col customWidth="1" min="11" max="11" width="9.57"/>
    <col customWidth="1" min="12" max="12" width="34.29"/>
    <col customWidth="1" min="13" max="13" width="33.43"/>
    <col customWidth="1" min="14" max="14" width="26.29"/>
    <col customWidth="1" min="15" max="15" width="10.29"/>
    <col customWidth="1" min="16" max="26" width="8.71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</row>
    <row r="4" ht="14.25" customHeight="1">
      <c r="B4" s="5">
        <v>1001.0</v>
      </c>
      <c r="C4" s="5" t="s">
        <v>14</v>
      </c>
      <c r="D4" s="6">
        <v>61.0</v>
      </c>
      <c r="E4" s="6">
        <v>48.0</v>
      </c>
      <c r="F4" s="6">
        <v>76.0</v>
      </c>
      <c r="G4" s="7">
        <v>43101.0</v>
      </c>
      <c r="H4" s="6">
        <f>SUM(D4:F4)</f>
        <v>185</v>
      </c>
      <c r="I4" s="8">
        <f t="shared" ref="I4:I23" si="1"> AVERAGE(D4:F4)</f>
        <v>61.66666667</v>
      </c>
      <c r="J4" s="9" t="str">
        <f t="shared" ref="J4:J23" si="2">IF(H4&gt;=33,"Pass","Fail")</f>
        <v>Pass</v>
      </c>
      <c r="K4" s="9" t="str">
        <f t="shared" ref="K4:K23" si="3">IF(I4&gt;=80,"A",
 IF(I4&gt;=60,"B",
 IF(I4&gt;=40,"C","Fail")))</f>
        <v>B</v>
      </c>
      <c r="L4" s="10" t="str">
        <f t="shared" ref="L4:L23" si="4">IF(OR(D4&gt;90,E4&gt;90),"Eligible","Not Eligible")</f>
        <v>Not Eligible</v>
      </c>
      <c r="M4" s="9">
        <f t="shared" ref="M4:M8" si="5">AVERAGEIFS(F2:F21, D2:D21, "&gt;60", E2:E21, "&gt;60")</f>
        <v>71.5</v>
      </c>
      <c r="N4" s="9" t="str">
        <f t="shared" ref="N4:N23" si="6">IF(I4&gt;=80,"Top Performer",
IF(I4&gt;=60,"Good Performer",
IF(I4&gt;=40,"Average","Needs Improvement")))</f>
        <v>Good Performer</v>
      </c>
      <c r="O4" s="11">
        <f t="shared" ref="O4:O23" si="7">NOW()-G4</f>
        <v>2956.257065</v>
      </c>
    </row>
    <row r="5" ht="14.25" customHeight="1">
      <c r="B5" s="12">
        <v>1002.0</v>
      </c>
      <c r="C5" s="12" t="s">
        <v>15</v>
      </c>
      <c r="D5" s="13">
        <v>78.0</v>
      </c>
      <c r="E5" s="13">
        <v>76.0</v>
      </c>
      <c r="F5" s="13">
        <v>70.0</v>
      </c>
      <c r="G5" s="14">
        <v>43281.0</v>
      </c>
      <c r="H5" s="13">
        <f>SUM(Sheet1!$D5:$F5)</f>
        <v>224</v>
      </c>
      <c r="I5" s="15">
        <f t="shared" si="1"/>
        <v>74.66666667</v>
      </c>
      <c r="J5" s="16" t="str">
        <f t="shared" si="2"/>
        <v>Pass</v>
      </c>
      <c r="K5" s="16" t="str">
        <f t="shared" si="3"/>
        <v>B</v>
      </c>
      <c r="L5" s="17" t="str">
        <f t="shared" si="4"/>
        <v>Not Eligible</v>
      </c>
      <c r="M5" s="16">
        <f t="shared" si="5"/>
        <v>70.22222222</v>
      </c>
      <c r="N5" s="16" t="str">
        <f t="shared" si="6"/>
        <v>Good Performer</v>
      </c>
      <c r="O5" s="18">
        <f t="shared" si="7"/>
        <v>2776.257065</v>
      </c>
    </row>
    <row r="6" ht="14.25" customHeight="1">
      <c r="B6" s="5">
        <v>1003.0</v>
      </c>
      <c r="C6" s="5" t="s">
        <v>16</v>
      </c>
      <c r="D6" s="6">
        <v>97.0</v>
      </c>
      <c r="E6" s="6">
        <v>60.0</v>
      </c>
      <c r="F6" s="6">
        <v>51.0</v>
      </c>
      <c r="G6" s="7">
        <v>43461.0</v>
      </c>
      <c r="H6" s="6">
        <f>SUM(Sheet1!$D6:$F6)</f>
        <v>208</v>
      </c>
      <c r="I6" s="8">
        <f t="shared" si="1"/>
        <v>69.33333333</v>
      </c>
      <c r="J6" s="9" t="str">
        <f t="shared" si="2"/>
        <v>Pass</v>
      </c>
      <c r="K6" s="9" t="str">
        <f t="shared" si="3"/>
        <v>B</v>
      </c>
      <c r="L6" s="10" t="str">
        <f t="shared" si="4"/>
        <v>Eligible</v>
      </c>
      <c r="M6" s="9">
        <f t="shared" si="5"/>
        <v>68.7</v>
      </c>
      <c r="N6" s="9" t="str">
        <f t="shared" si="6"/>
        <v>Good Performer</v>
      </c>
      <c r="O6" s="11">
        <f t="shared" si="7"/>
        <v>2596.257065</v>
      </c>
    </row>
    <row r="7" ht="14.25" customHeight="1">
      <c r="B7" s="12">
        <v>1004.0</v>
      </c>
      <c r="C7" s="12" t="s">
        <v>17</v>
      </c>
      <c r="D7" s="13">
        <v>74.0</v>
      </c>
      <c r="E7" s="13">
        <v>55.0</v>
      </c>
      <c r="F7" s="13">
        <v>46.0</v>
      </c>
      <c r="G7" s="14">
        <v>43641.0</v>
      </c>
      <c r="H7" s="13">
        <f>SUM(Sheet1!$D7:$F7)</f>
        <v>175</v>
      </c>
      <c r="I7" s="15">
        <f t="shared" si="1"/>
        <v>58.33333333</v>
      </c>
      <c r="J7" s="16" t="str">
        <f t="shared" si="2"/>
        <v>Pass</v>
      </c>
      <c r="K7" s="16" t="str">
        <f t="shared" si="3"/>
        <v>C</v>
      </c>
      <c r="L7" s="17" t="str">
        <f t="shared" si="4"/>
        <v>Not Eligible</v>
      </c>
      <c r="M7" s="16">
        <f t="shared" si="5"/>
        <v>68.7</v>
      </c>
      <c r="N7" s="16" t="str">
        <f t="shared" si="6"/>
        <v>Average</v>
      </c>
      <c r="O7" s="18">
        <f t="shared" si="7"/>
        <v>2416.257065</v>
      </c>
    </row>
    <row r="8" ht="14.25" customHeight="1">
      <c r="B8" s="5">
        <v>1005.0</v>
      </c>
      <c r="C8" s="5" t="s">
        <v>18</v>
      </c>
      <c r="D8" s="6">
        <v>68.0</v>
      </c>
      <c r="E8" s="6">
        <v>74.0</v>
      </c>
      <c r="F8" s="6">
        <v>84.0</v>
      </c>
      <c r="G8" s="7">
        <v>43821.0</v>
      </c>
      <c r="H8" s="6">
        <f>SUM(Sheet1!$D8:$F8)</f>
        <v>226</v>
      </c>
      <c r="I8" s="8">
        <f t="shared" si="1"/>
        <v>75.33333333</v>
      </c>
      <c r="J8" s="9" t="str">
        <f t="shared" si="2"/>
        <v>Pass</v>
      </c>
      <c r="K8" s="9" t="str">
        <f t="shared" si="3"/>
        <v>B</v>
      </c>
      <c r="L8" s="10" t="str">
        <f t="shared" si="4"/>
        <v>Not Eligible</v>
      </c>
      <c r="M8" s="9">
        <f t="shared" si="5"/>
        <v>68.55555556</v>
      </c>
      <c r="N8" s="9" t="str">
        <f t="shared" si="6"/>
        <v>Good Performer</v>
      </c>
      <c r="O8" s="11">
        <f t="shared" si="7"/>
        <v>2236.257065</v>
      </c>
    </row>
    <row r="9" ht="14.25" customHeight="1">
      <c r="B9" s="12">
        <v>1006.0</v>
      </c>
      <c r="C9" s="12" t="s">
        <v>19</v>
      </c>
      <c r="D9" s="13">
        <v>80.0</v>
      </c>
      <c r="E9" s="13">
        <v>70.0</v>
      </c>
      <c r="F9" s="13">
        <v>65.0</v>
      </c>
      <c r="G9" s="14">
        <v>44001.0</v>
      </c>
      <c r="H9" s="13">
        <f>SUM(Sheet1!$D9:$F9)</f>
        <v>215</v>
      </c>
      <c r="I9" s="15">
        <f t="shared" si="1"/>
        <v>71.66666667</v>
      </c>
      <c r="J9" s="16" t="str">
        <f t="shared" si="2"/>
        <v>Pass</v>
      </c>
      <c r="K9" s="16" t="str">
        <f t="shared" si="3"/>
        <v>B</v>
      </c>
      <c r="L9" s="17" t="str">
        <f t="shared" si="4"/>
        <v>Not Eligible</v>
      </c>
      <c r="M9" s="16" t="str">
        <f>AVERAGEIFS(F7:F26, D7:D25, "&gt;60", E7:E26, "&gt;60")</f>
        <v>#VALUE!</v>
      </c>
      <c r="N9" s="16" t="str">
        <f t="shared" si="6"/>
        <v>Good Performer</v>
      </c>
      <c r="O9" s="18">
        <f t="shared" si="7"/>
        <v>2056.257065</v>
      </c>
    </row>
    <row r="10" ht="14.25" customHeight="1">
      <c r="B10" s="5">
        <v>1007.0</v>
      </c>
      <c r="C10" s="5" t="s">
        <v>20</v>
      </c>
      <c r="D10" s="6">
        <v>75.0</v>
      </c>
      <c r="E10" s="6">
        <v>47.0</v>
      </c>
      <c r="F10" s="6">
        <v>78.0</v>
      </c>
      <c r="G10" s="7">
        <v>44181.0</v>
      </c>
      <c r="H10" s="6">
        <f>SUM(Sheet1!$D10:$F10)</f>
        <v>200</v>
      </c>
      <c r="I10" s="8">
        <f t="shared" si="1"/>
        <v>66.66666667</v>
      </c>
      <c r="J10" s="9" t="str">
        <f t="shared" si="2"/>
        <v>Pass</v>
      </c>
      <c r="K10" s="9" t="str">
        <f t="shared" si="3"/>
        <v>B</v>
      </c>
      <c r="L10" s="10" t="str">
        <f t="shared" si="4"/>
        <v>Not Eligible</v>
      </c>
      <c r="M10" s="9" t="str">
        <f>AVERAGEIFS(F8:F29, D8:D31, "&gt;60", E8:E27, "&gt;60")</f>
        <v>#VALUE!</v>
      </c>
      <c r="N10" s="9" t="str">
        <f t="shared" si="6"/>
        <v>Good Performer</v>
      </c>
      <c r="O10" s="11">
        <f t="shared" si="7"/>
        <v>1876.257065</v>
      </c>
    </row>
    <row r="11" ht="14.25" customHeight="1">
      <c r="B11" s="12">
        <v>1008.0</v>
      </c>
      <c r="C11" s="12" t="s">
        <v>21</v>
      </c>
      <c r="D11" s="13">
        <v>94.0</v>
      </c>
      <c r="E11" s="13">
        <v>67.0</v>
      </c>
      <c r="F11" s="13">
        <v>64.0</v>
      </c>
      <c r="G11" s="14">
        <v>44361.0</v>
      </c>
      <c r="H11" s="13">
        <f>SUM(Sheet1!$D11:$F11)</f>
        <v>225</v>
      </c>
      <c r="I11" s="15">
        <f t="shared" si="1"/>
        <v>75</v>
      </c>
      <c r="J11" s="16" t="str">
        <f t="shared" si="2"/>
        <v>Pass</v>
      </c>
      <c r="K11" s="16" t="str">
        <f t="shared" si="3"/>
        <v>B</v>
      </c>
      <c r="L11" s="17" t="str">
        <f t="shared" si="4"/>
        <v>Eligible</v>
      </c>
      <c r="M11" s="16" t="str">
        <f>AVERAGEIFS(F9:F29, D9:D28, "&gt;60", E9:E28, "&gt;60")</f>
        <v>#VALUE!</v>
      </c>
      <c r="N11" s="16" t="str">
        <f t="shared" si="6"/>
        <v>Good Performer</v>
      </c>
      <c r="O11" s="18">
        <f t="shared" si="7"/>
        <v>1696.257065</v>
      </c>
    </row>
    <row r="12" ht="14.25" customHeight="1">
      <c r="B12" s="5">
        <v>1009.0</v>
      </c>
      <c r="C12" s="5" t="s">
        <v>22</v>
      </c>
      <c r="D12" s="6">
        <v>41.0</v>
      </c>
      <c r="E12" s="6">
        <v>75.0</v>
      </c>
      <c r="F12" s="6">
        <v>56.0</v>
      </c>
      <c r="G12" s="7">
        <v>44541.0</v>
      </c>
      <c r="H12" s="6">
        <f>SUM(Sheet1!$D12:$F12)</f>
        <v>172</v>
      </c>
      <c r="I12" s="8">
        <f t="shared" si="1"/>
        <v>57.33333333</v>
      </c>
      <c r="J12" s="9" t="str">
        <f t="shared" si="2"/>
        <v>Pass</v>
      </c>
      <c r="K12" s="9" t="str">
        <f t="shared" si="3"/>
        <v>C</v>
      </c>
      <c r="L12" s="10" t="str">
        <f t="shared" si="4"/>
        <v>Not Eligible</v>
      </c>
      <c r="M12" s="9">
        <f>AVERAGEIFS(F10:F29, D10:D29, "&gt;60", E10:E29, "&gt;60")</f>
        <v>66.85714286</v>
      </c>
      <c r="N12" s="9" t="str">
        <f t="shared" si="6"/>
        <v>Average</v>
      </c>
      <c r="O12" s="11">
        <f t="shared" si="7"/>
        <v>1516.257065</v>
      </c>
    </row>
    <row r="13" ht="14.25" customHeight="1">
      <c r="B13" s="12">
        <v>1010.0</v>
      </c>
      <c r="C13" s="12" t="s">
        <v>23</v>
      </c>
      <c r="D13" s="13">
        <v>98.0</v>
      </c>
      <c r="E13" s="13">
        <v>54.0</v>
      </c>
      <c r="F13" s="13">
        <v>58.0</v>
      </c>
      <c r="G13" s="14">
        <v>44721.0</v>
      </c>
      <c r="H13" s="13">
        <f>SUM(Sheet1!$D13:$F13)</f>
        <v>210</v>
      </c>
      <c r="I13" s="15">
        <f t="shared" si="1"/>
        <v>70</v>
      </c>
      <c r="J13" s="16" t="str">
        <f t="shared" si="2"/>
        <v>Pass</v>
      </c>
      <c r="K13" s="16" t="str">
        <f t="shared" si="3"/>
        <v>B</v>
      </c>
      <c r="L13" s="17" t="str">
        <f t="shared" si="4"/>
        <v>Eligible</v>
      </c>
      <c r="M13" s="16" t="str">
        <f>AVERAGEIFS(F11:F28, D11:D29, "&gt;60", E11:E30, "&gt;60")</f>
        <v>#VALUE!</v>
      </c>
      <c r="N13" s="16" t="str">
        <f t="shared" si="6"/>
        <v>Good Performer</v>
      </c>
      <c r="O13" s="18">
        <f t="shared" si="7"/>
        <v>1336.257065</v>
      </c>
    </row>
    <row r="14" ht="14.25" customHeight="1">
      <c r="B14" s="5">
        <v>1011.0</v>
      </c>
      <c r="C14" s="5" t="s">
        <v>24</v>
      </c>
      <c r="D14" s="6">
        <v>73.0</v>
      </c>
      <c r="E14" s="6">
        <v>79.0</v>
      </c>
      <c r="F14" s="6">
        <v>53.0</v>
      </c>
      <c r="G14" s="7">
        <v>44901.0</v>
      </c>
      <c r="H14" s="6">
        <f>SUM(Sheet1!$D14:$F14)</f>
        <v>205</v>
      </c>
      <c r="I14" s="8">
        <f t="shared" si="1"/>
        <v>68.33333333</v>
      </c>
      <c r="J14" s="9" t="str">
        <f t="shared" si="2"/>
        <v>Pass</v>
      </c>
      <c r="K14" s="9" t="str">
        <f t="shared" si="3"/>
        <v>B</v>
      </c>
      <c r="L14" s="10" t="str">
        <f t="shared" si="4"/>
        <v>Not Eligible</v>
      </c>
      <c r="M14" s="9" t="str">
        <f>AVERAGEIFS(F12:F29, D12:D29, "&gt;60", E12:E31, "&gt;60")</f>
        <v>#VALUE!</v>
      </c>
      <c r="N14" s="9" t="str">
        <f t="shared" si="6"/>
        <v>Good Performer</v>
      </c>
      <c r="O14" s="11">
        <f t="shared" si="7"/>
        <v>1156.257065</v>
      </c>
    </row>
    <row r="15" ht="14.25" customHeight="1">
      <c r="B15" s="12">
        <v>1012.0</v>
      </c>
      <c r="C15" s="12" t="s">
        <v>25</v>
      </c>
      <c r="D15" s="13">
        <v>85.0</v>
      </c>
      <c r="E15" s="13">
        <v>89.0</v>
      </c>
      <c r="F15" s="13">
        <v>79.0</v>
      </c>
      <c r="G15" s="14">
        <v>45081.0</v>
      </c>
      <c r="H15" s="13">
        <f>SUM(Sheet1!$D15:$F15)</f>
        <v>253</v>
      </c>
      <c r="I15" s="15">
        <f t="shared" si="1"/>
        <v>84.33333333</v>
      </c>
      <c r="J15" s="16" t="str">
        <f t="shared" si="2"/>
        <v>Pass</v>
      </c>
      <c r="K15" s="16" t="str">
        <f t="shared" si="3"/>
        <v>A</v>
      </c>
      <c r="L15" s="17" t="str">
        <f t="shared" si="4"/>
        <v>Not Eligible</v>
      </c>
      <c r="M15" s="16" t="str">
        <f>AVERAGEIFS(F13:F29, D13:D29, "&gt;60", E13:E32, "&gt;60")</f>
        <v>#VALUE!</v>
      </c>
      <c r="N15" s="16" t="str">
        <f t="shared" si="6"/>
        <v>Top Performer</v>
      </c>
      <c r="O15" s="18">
        <f t="shared" si="7"/>
        <v>976.2570651</v>
      </c>
    </row>
    <row r="16" ht="14.25" customHeight="1">
      <c r="B16" s="5">
        <v>1013.0</v>
      </c>
      <c r="C16" s="5" t="s">
        <v>26</v>
      </c>
      <c r="D16" s="6">
        <v>98.0</v>
      </c>
      <c r="E16" s="6">
        <v>90.0</v>
      </c>
      <c r="F16" s="6">
        <v>97.0</v>
      </c>
      <c r="G16" s="7">
        <v>45261.0</v>
      </c>
      <c r="H16" s="6">
        <f>SUM(Sheet1!$D16:$F16)</f>
        <v>285</v>
      </c>
      <c r="I16" s="8">
        <f t="shared" si="1"/>
        <v>95</v>
      </c>
      <c r="J16" s="9" t="str">
        <f t="shared" si="2"/>
        <v>Pass</v>
      </c>
      <c r="K16" s="9" t="str">
        <f t="shared" si="3"/>
        <v>A</v>
      </c>
      <c r="L16" s="10" t="str">
        <f t="shared" si="4"/>
        <v>Eligible</v>
      </c>
      <c r="M16" s="9" t="str">
        <f>AVERAGEIFS(F14:F29, D14:D29, "&gt;60", E14:E33, "&gt;60")</f>
        <v>#VALUE!</v>
      </c>
      <c r="N16" s="9" t="str">
        <f t="shared" si="6"/>
        <v>Top Performer</v>
      </c>
      <c r="O16" s="11">
        <f t="shared" si="7"/>
        <v>796.2570651</v>
      </c>
    </row>
    <row r="17" ht="14.25" customHeight="1">
      <c r="B17" s="12">
        <v>1014.0</v>
      </c>
      <c r="C17" s="12" t="s">
        <v>27</v>
      </c>
      <c r="D17" s="13">
        <v>93.0</v>
      </c>
      <c r="E17" s="13">
        <v>40.0</v>
      </c>
      <c r="F17" s="13">
        <v>44.0</v>
      </c>
      <c r="G17" s="14">
        <v>45441.0</v>
      </c>
      <c r="H17" s="13">
        <f>SUM(Sheet1!$D17:$F17)</f>
        <v>177</v>
      </c>
      <c r="I17" s="15">
        <f t="shared" si="1"/>
        <v>59</v>
      </c>
      <c r="J17" s="16" t="str">
        <f t="shared" si="2"/>
        <v>Pass</v>
      </c>
      <c r="K17" s="16" t="str">
        <f t="shared" si="3"/>
        <v>C</v>
      </c>
      <c r="L17" s="17" t="str">
        <f t="shared" si="4"/>
        <v>Eligible</v>
      </c>
      <c r="M17" s="16" t="str">
        <f>AVERAGEIFS(F15:F34, D15:D29, "&gt;60", E15:E34, "&gt;60")</f>
        <v>#VALUE!</v>
      </c>
      <c r="N17" s="16" t="str">
        <f t="shared" si="6"/>
        <v>Average</v>
      </c>
      <c r="O17" s="18">
        <f t="shared" si="7"/>
        <v>616.2570651</v>
      </c>
    </row>
    <row r="18" ht="14.25" customHeight="1">
      <c r="B18" s="5">
        <v>1015.0</v>
      </c>
      <c r="C18" s="5" t="s">
        <v>28</v>
      </c>
      <c r="D18" s="6">
        <v>70.0</v>
      </c>
      <c r="E18" s="6">
        <v>51.0</v>
      </c>
      <c r="F18" s="6">
        <v>75.0</v>
      </c>
      <c r="G18" s="7">
        <v>45621.0</v>
      </c>
      <c r="H18" s="6">
        <f>SUM(Sheet1!$D18:$F18)</f>
        <v>196</v>
      </c>
      <c r="I18" s="8">
        <f t="shared" si="1"/>
        <v>65.33333333</v>
      </c>
      <c r="J18" s="9" t="str">
        <f t="shared" si="2"/>
        <v>Pass</v>
      </c>
      <c r="K18" s="9" t="str">
        <f t="shared" si="3"/>
        <v>B</v>
      </c>
      <c r="L18" s="10" t="str">
        <f t="shared" si="4"/>
        <v>Not Eligible</v>
      </c>
      <c r="M18" s="9">
        <f t="shared" ref="M18:M23" si="8">AVERAGEIFS(F16:F35, D16:D35, "&gt;60", E16:E35, "&gt;60")</f>
        <v>68</v>
      </c>
      <c r="N18" s="9" t="str">
        <f t="shared" si="6"/>
        <v>Good Performer</v>
      </c>
      <c r="O18" s="11">
        <f t="shared" si="7"/>
        <v>436.2570651</v>
      </c>
    </row>
    <row r="19" ht="14.25" customHeight="1">
      <c r="B19" s="12">
        <v>1016.0</v>
      </c>
      <c r="C19" s="12" t="s">
        <v>29</v>
      </c>
      <c r="D19" s="13">
        <v>98.0</v>
      </c>
      <c r="E19" s="13">
        <v>77.0</v>
      </c>
      <c r="F19" s="13">
        <v>60.0</v>
      </c>
      <c r="G19" s="14">
        <v>45801.0</v>
      </c>
      <c r="H19" s="13">
        <f>SUM(Sheet1!$D19:$F19)</f>
        <v>235</v>
      </c>
      <c r="I19" s="15">
        <f t="shared" si="1"/>
        <v>78.33333333</v>
      </c>
      <c r="J19" s="16" t="str">
        <f t="shared" si="2"/>
        <v>Pass</v>
      </c>
      <c r="K19" s="16" t="str">
        <f t="shared" si="3"/>
        <v>B</v>
      </c>
      <c r="L19" s="17" t="str">
        <f t="shared" si="4"/>
        <v>Eligible</v>
      </c>
      <c r="M19" s="16">
        <f t="shared" si="8"/>
        <v>58.33333333</v>
      </c>
      <c r="N19" s="16" t="str">
        <f t="shared" si="6"/>
        <v>Good Performer</v>
      </c>
      <c r="O19" s="18">
        <f t="shared" si="7"/>
        <v>256.2570651</v>
      </c>
    </row>
    <row r="20" ht="14.25" customHeight="1">
      <c r="B20" s="5">
        <v>1017.0</v>
      </c>
      <c r="C20" s="5" t="s">
        <v>30</v>
      </c>
      <c r="D20" s="6">
        <v>66.0</v>
      </c>
      <c r="E20" s="6">
        <v>59.0</v>
      </c>
      <c r="F20" s="6">
        <v>40.0</v>
      </c>
      <c r="G20" s="7">
        <v>45981.0</v>
      </c>
      <c r="H20" s="6">
        <f>SUM(Sheet1!$D20:$F20)</f>
        <v>165</v>
      </c>
      <c r="I20" s="8">
        <f t="shared" si="1"/>
        <v>55</v>
      </c>
      <c r="J20" s="9" t="str">
        <f t="shared" si="2"/>
        <v>Pass</v>
      </c>
      <c r="K20" s="9" t="str">
        <f t="shared" si="3"/>
        <v>C</v>
      </c>
      <c r="L20" s="10" t="str">
        <f t="shared" si="4"/>
        <v>Not Eligible</v>
      </c>
      <c r="M20" s="9">
        <f t="shared" si="8"/>
        <v>58.33333333</v>
      </c>
      <c r="N20" s="9" t="str">
        <f t="shared" si="6"/>
        <v>Average</v>
      </c>
      <c r="O20" s="11">
        <f t="shared" si="7"/>
        <v>76.25706509</v>
      </c>
    </row>
    <row r="21" ht="14.25" customHeight="1">
      <c r="B21" s="12">
        <v>1018.0</v>
      </c>
      <c r="C21" s="12" t="s">
        <v>31</v>
      </c>
      <c r="D21" s="13">
        <v>82.0</v>
      </c>
      <c r="E21" s="13">
        <v>48.0</v>
      </c>
      <c r="F21" s="13">
        <v>79.0</v>
      </c>
      <c r="G21" s="14">
        <v>46161.0</v>
      </c>
      <c r="H21" s="13">
        <f>SUM(Sheet1!$D21:$F21)</f>
        <v>209</v>
      </c>
      <c r="I21" s="15">
        <f t="shared" si="1"/>
        <v>69.66666667</v>
      </c>
      <c r="J21" s="16" t="str">
        <f t="shared" si="2"/>
        <v>Pass</v>
      </c>
      <c r="K21" s="16" t="str">
        <f t="shared" si="3"/>
        <v>B</v>
      </c>
      <c r="L21" s="17" t="str">
        <f t="shared" si="4"/>
        <v>Not Eligible</v>
      </c>
      <c r="M21" s="16">
        <f t="shared" si="8"/>
        <v>58.33333333</v>
      </c>
      <c r="N21" s="16" t="str">
        <f t="shared" si="6"/>
        <v>Good Performer</v>
      </c>
      <c r="O21" s="18">
        <f t="shared" si="7"/>
        <v>-103.7429349</v>
      </c>
    </row>
    <row r="22" ht="14.25" customHeight="1">
      <c r="B22" s="5">
        <v>1019.0</v>
      </c>
      <c r="C22" s="5" t="s">
        <v>32</v>
      </c>
      <c r="D22" s="6">
        <v>90.0</v>
      </c>
      <c r="E22" s="6">
        <v>78.0</v>
      </c>
      <c r="F22" s="6">
        <v>60.0</v>
      </c>
      <c r="G22" s="7">
        <v>46341.0</v>
      </c>
      <c r="H22" s="6">
        <f>SUM(Sheet1!$D22:$F22)</f>
        <v>228</v>
      </c>
      <c r="I22" s="8">
        <f t="shared" si="1"/>
        <v>76</v>
      </c>
      <c r="J22" s="9" t="str">
        <f t="shared" si="2"/>
        <v>Pass</v>
      </c>
      <c r="K22" s="9" t="str">
        <f t="shared" si="3"/>
        <v>B</v>
      </c>
      <c r="L22" s="10" t="str">
        <f t="shared" si="4"/>
        <v>Not Eligible</v>
      </c>
      <c r="M22" s="9">
        <f t="shared" si="8"/>
        <v>57.5</v>
      </c>
      <c r="N22" s="9" t="str">
        <f t="shared" si="6"/>
        <v>Good Performer</v>
      </c>
      <c r="O22" s="11">
        <f t="shared" si="7"/>
        <v>-283.7429349</v>
      </c>
    </row>
    <row r="23" ht="14.25" customHeight="1">
      <c r="B23" s="19">
        <v>1020.0</v>
      </c>
      <c r="C23" s="19" t="s">
        <v>33</v>
      </c>
      <c r="D23" s="20">
        <v>83.0</v>
      </c>
      <c r="E23" s="20">
        <v>92.0</v>
      </c>
      <c r="F23" s="20">
        <v>55.0</v>
      </c>
      <c r="G23" s="21">
        <v>46521.0</v>
      </c>
      <c r="H23" s="20">
        <f>SUM(Sheet1!$D23:$F23)</f>
        <v>230</v>
      </c>
      <c r="I23" s="22">
        <f t="shared" si="1"/>
        <v>76.66666667</v>
      </c>
      <c r="J23" s="23" t="str">
        <f t="shared" si="2"/>
        <v>Pass</v>
      </c>
      <c r="K23" s="23" t="str">
        <f t="shared" si="3"/>
        <v>B</v>
      </c>
      <c r="L23" s="24" t="str">
        <f t="shared" si="4"/>
        <v>Eligible</v>
      </c>
      <c r="M23" s="23">
        <f t="shared" si="8"/>
        <v>57.5</v>
      </c>
      <c r="N23" s="23" t="str">
        <f t="shared" si="6"/>
        <v>Good Performer</v>
      </c>
      <c r="O23" s="25">
        <f t="shared" si="7"/>
        <v>-463.7429349</v>
      </c>
    </row>
    <row r="24" ht="14.25" customHeight="1">
      <c r="B24" s="26"/>
      <c r="C24" s="26"/>
      <c r="D24" s="26"/>
      <c r="E24" s="26"/>
      <c r="F24" s="26"/>
      <c r="G24" s="26"/>
      <c r="O24" s="27"/>
    </row>
    <row r="25" ht="14.25" customHeight="1">
      <c r="O25" s="27"/>
    </row>
    <row r="26" ht="14.25" customHeight="1">
      <c r="I26" s="28" t="s">
        <v>34</v>
      </c>
      <c r="J26" s="29"/>
      <c r="O26" s="27"/>
    </row>
    <row r="27" ht="14.25" customHeight="1">
      <c r="I27" s="30" t="s">
        <v>35</v>
      </c>
      <c r="J27" s="30">
        <f>COUNTIF(D4:D23,"&gt;50")</f>
        <v>19</v>
      </c>
      <c r="O27" s="27"/>
    </row>
    <row r="28" ht="14.25" customHeight="1">
      <c r="O28" s="27"/>
    </row>
    <row r="29" ht="14.25" customHeight="1">
      <c r="O29" s="27"/>
    </row>
    <row r="30" ht="14.25" customHeight="1">
      <c r="F30" s="31" t="s">
        <v>36</v>
      </c>
      <c r="G30" s="32"/>
      <c r="H30" s="29"/>
      <c r="L30" s="33" t="s">
        <v>37</v>
      </c>
      <c r="M30" s="29"/>
      <c r="O30" s="27"/>
    </row>
    <row r="31" ht="14.25" customHeight="1">
      <c r="F31" s="34" t="s">
        <v>0</v>
      </c>
      <c r="G31" s="29"/>
      <c r="H31" s="35">
        <v>1007.0</v>
      </c>
      <c r="L31" s="36" t="s">
        <v>38</v>
      </c>
      <c r="M31" s="36">
        <v>1004.0</v>
      </c>
      <c r="O31" s="27"/>
    </row>
    <row r="32" ht="14.25" customHeight="1">
      <c r="F32" s="34" t="s">
        <v>2</v>
      </c>
      <c r="G32" s="29"/>
      <c r="H32" s="37">
        <f t="array" ref="H32">XLOOKUP(H31,B4:B23, D4:D23)</f>
        <v>75</v>
      </c>
      <c r="L32" s="36" t="s">
        <v>39</v>
      </c>
      <c r="M32" s="38" t="str">
        <f>VLOOKUP(M31,B3:C23,2,)</f>
        <v>Shiv</v>
      </c>
      <c r="O32" s="27"/>
    </row>
    <row r="33" ht="14.25" customHeight="1">
      <c r="F33" s="34" t="s">
        <v>4</v>
      </c>
      <c r="G33" s="29"/>
      <c r="H33" s="37">
        <f t="array" ref="H33">XLOOKUP(H31,B5:B24, F5:F24)</f>
        <v>78</v>
      </c>
      <c r="O33" s="27"/>
    </row>
    <row r="34" ht="14.25" customHeight="1">
      <c r="F34" s="34" t="s">
        <v>3</v>
      </c>
      <c r="G34" s="29"/>
      <c r="H34" s="37">
        <f t="array" ref="H34">XLOOKUP(H31,B5:B24, E5:E24)</f>
        <v>47</v>
      </c>
      <c r="O34" s="27"/>
    </row>
    <row r="35" ht="14.25" customHeight="1">
      <c r="O35" s="27"/>
    </row>
    <row r="36" ht="14.25" customHeight="1">
      <c r="O36" s="27"/>
    </row>
    <row r="37" ht="14.25" customHeight="1">
      <c r="O37" s="27"/>
    </row>
    <row r="38" ht="14.25" customHeight="1">
      <c r="I38" s="39" t="s">
        <v>40</v>
      </c>
      <c r="J38" s="32"/>
      <c r="K38" s="29"/>
      <c r="O38" s="27"/>
    </row>
    <row r="39" ht="14.25" customHeight="1">
      <c r="I39" s="40" t="s">
        <v>41</v>
      </c>
      <c r="J39" s="29"/>
      <c r="K39" s="41">
        <f t="array" ref="K39">MAX(INDIRECT("D4:D23"))</f>
        <v>98</v>
      </c>
      <c r="O39" s="27"/>
    </row>
    <row r="40" ht="14.25" customHeight="1">
      <c r="I40" s="40" t="s">
        <v>3</v>
      </c>
      <c r="J40" s="29"/>
      <c r="K40" s="41">
        <f t="array" ref="K40">MAX(INDIRECT("E4:E23"))</f>
        <v>92</v>
      </c>
      <c r="O40" s="27"/>
    </row>
    <row r="41" ht="14.25" customHeight="1">
      <c r="I41" s="40" t="s">
        <v>4</v>
      </c>
      <c r="J41" s="29"/>
      <c r="K41" s="41">
        <f t="array" ref="K41">MAX(INDIRECT("F4:F23"))</f>
        <v>97</v>
      </c>
      <c r="O41" s="27"/>
    </row>
    <row r="42" ht="14.25" customHeight="1">
      <c r="O42" s="2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>
      <c r="F92" s="42"/>
      <c r="G92" s="32"/>
      <c r="H92" s="29"/>
    </row>
    <row r="93" ht="14.25" customHeight="1">
      <c r="F93" s="42"/>
      <c r="G93" s="29"/>
      <c r="H93" s="43"/>
    </row>
    <row r="94" ht="14.25" customHeight="1">
      <c r="F94" s="42"/>
      <c r="G94" s="29"/>
      <c r="H94" s="43"/>
    </row>
    <row r="95" ht="14.25" customHeight="1">
      <c r="F95" s="44"/>
      <c r="G95" s="44"/>
      <c r="H95" s="43"/>
    </row>
    <row r="96" ht="14.25" customHeight="1">
      <c r="F96" s="44"/>
      <c r="G96" s="44"/>
      <c r="H96" s="43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I38:K38"/>
    <mergeCell ref="I39:J39"/>
    <mergeCell ref="I40:J40"/>
    <mergeCell ref="I41:J41"/>
    <mergeCell ref="F92:H92"/>
    <mergeCell ref="F93:G93"/>
    <mergeCell ref="F94:G94"/>
    <mergeCell ref="I26:J26"/>
    <mergeCell ref="F30:H30"/>
    <mergeCell ref="L30:M30"/>
    <mergeCell ref="F31:G31"/>
    <mergeCell ref="F32:G32"/>
    <mergeCell ref="F33:G33"/>
    <mergeCell ref="F34:G34"/>
  </mergeCells>
  <printOptions/>
  <pageMargins bottom="0.7480314960629921" footer="0.0" header="0.0" left="0.7086614173228347" right="0.7086614173228347" top="0.7480314960629921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2.71"/>
    <col customWidth="1" min="4" max="4" width="16.43"/>
    <col customWidth="1" min="5" max="5" width="12.57"/>
    <col customWidth="1" min="6" max="6" width="13.57"/>
    <col customWidth="1" min="7" max="7" width="17.71"/>
    <col customWidth="1" min="8" max="8" width="13.0"/>
    <col customWidth="1" min="9" max="9" width="15.71"/>
    <col customWidth="1" min="10" max="10" width="18.29"/>
    <col customWidth="1" min="11" max="11" width="8.86"/>
    <col customWidth="1" min="12" max="26" width="8.71"/>
  </cols>
  <sheetData>
    <row r="1" ht="14.25" customHeight="1"/>
    <row r="2" ht="14.25" customHeight="1"/>
    <row r="3" ht="14.25" customHeight="1">
      <c r="B3" s="45" t="s">
        <v>42</v>
      </c>
      <c r="C3" s="46" t="s">
        <v>43</v>
      </c>
      <c r="D3" s="46" t="s">
        <v>44</v>
      </c>
      <c r="E3" s="46" t="s">
        <v>45</v>
      </c>
      <c r="F3" s="46" t="s">
        <v>46</v>
      </c>
      <c r="G3" s="46" t="s">
        <v>47</v>
      </c>
      <c r="H3" s="47" t="s">
        <v>48</v>
      </c>
      <c r="I3" s="47" t="s">
        <v>49</v>
      </c>
      <c r="J3" s="47" t="s">
        <v>50</v>
      </c>
    </row>
    <row r="4" ht="14.25" customHeight="1">
      <c r="B4" s="48">
        <v>2001.0</v>
      </c>
      <c r="C4" s="49" t="s">
        <v>51</v>
      </c>
      <c r="D4" s="49" t="s">
        <v>52</v>
      </c>
      <c r="E4" s="50" t="s">
        <v>14</v>
      </c>
      <c r="F4" s="51">
        <v>7048.0</v>
      </c>
      <c r="G4" s="52">
        <v>44927.0</v>
      </c>
      <c r="H4" s="53" t="str">
        <f t="shared" ref="H4:H23" si="1">TEXT(G4,"MMMM")</f>
        <v>January</v>
      </c>
      <c r="I4" s="54" t="str">
        <f t="shared" ref="I4:I23" si="2">IF(F4&lt;10000,"No Discount",
 IF(F4&lt;=20000,"5% Discount",
 IF(F4&lt;=30000,"10% Discount",
 "15% Discount")))</f>
        <v>No Discount</v>
      </c>
      <c r="J4" s="53" t="str">
        <f t="shared" ref="J4:J23" si="3">IF(F4&gt;=10000,"Eligible for Discount","No Discount")</f>
        <v>No Discount</v>
      </c>
    </row>
    <row r="5" ht="14.25" customHeight="1">
      <c r="B5" s="55">
        <v>2002.0</v>
      </c>
      <c r="C5" s="49" t="s">
        <v>53</v>
      </c>
      <c r="D5" s="49" t="s">
        <v>54</v>
      </c>
      <c r="E5" s="56" t="s">
        <v>15</v>
      </c>
      <c r="F5" s="51">
        <v>17428.0</v>
      </c>
      <c r="G5" s="52">
        <v>44942.0</v>
      </c>
      <c r="H5" s="53" t="str">
        <f t="shared" si="1"/>
        <v>January</v>
      </c>
      <c r="I5" s="54" t="str">
        <f t="shared" si="2"/>
        <v>5% Discount</v>
      </c>
      <c r="J5" s="53" t="str">
        <f t="shared" si="3"/>
        <v>Eligible for Discount</v>
      </c>
    </row>
    <row r="6" ht="14.25" customHeight="1">
      <c r="B6" s="55">
        <v>2003.0</v>
      </c>
      <c r="C6" s="49" t="s">
        <v>55</v>
      </c>
      <c r="D6" s="49" t="s">
        <v>52</v>
      </c>
      <c r="E6" s="50" t="s">
        <v>16</v>
      </c>
      <c r="F6" s="51">
        <v>23672.0</v>
      </c>
      <c r="G6" s="52">
        <v>44957.0</v>
      </c>
      <c r="H6" s="53" t="str">
        <f t="shared" si="1"/>
        <v>January</v>
      </c>
      <c r="I6" s="54" t="str">
        <f t="shared" si="2"/>
        <v>10% Discount</v>
      </c>
      <c r="J6" s="53" t="str">
        <f t="shared" si="3"/>
        <v>Eligible for Discount</v>
      </c>
    </row>
    <row r="7" ht="14.25" customHeight="1">
      <c r="B7" s="55">
        <v>2004.0</v>
      </c>
      <c r="C7" s="49" t="s">
        <v>53</v>
      </c>
      <c r="D7" s="49" t="s">
        <v>56</v>
      </c>
      <c r="E7" s="56" t="s">
        <v>17</v>
      </c>
      <c r="F7" s="51">
        <v>5264.0</v>
      </c>
      <c r="G7" s="52">
        <v>44972.0</v>
      </c>
      <c r="H7" s="53" t="str">
        <f t="shared" si="1"/>
        <v>February</v>
      </c>
      <c r="I7" s="54" t="str">
        <f t="shared" si="2"/>
        <v>No Discount</v>
      </c>
      <c r="J7" s="53" t="str">
        <f t="shared" si="3"/>
        <v>No Discount</v>
      </c>
    </row>
    <row r="8" ht="14.25" customHeight="1">
      <c r="B8" s="55">
        <v>2005.0</v>
      </c>
      <c r="C8" s="49" t="s">
        <v>51</v>
      </c>
      <c r="D8" s="49" t="s">
        <v>57</v>
      </c>
      <c r="E8" s="50" t="s">
        <v>18</v>
      </c>
      <c r="F8" s="51">
        <v>43388.0</v>
      </c>
      <c r="G8" s="52">
        <v>44987.0</v>
      </c>
      <c r="H8" s="53" t="str">
        <f t="shared" si="1"/>
        <v>March</v>
      </c>
      <c r="I8" s="54" t="str">
        <f t="shared" si="2"/>
        <v>15% Discount</v>
      </c>
      <c r="J8" s="53" t="str">
        <f t="shared" si="3"/>
        <v>Eligible for Discount</v>
      </c>
    </row>
    <row r="9" ht="14.25" customHeight="1">
      <c r="B9" s="55">
        <v>2006.0</v>
      </c>
      <c r="C9" s="49" t="s">
        <v>55</v>
      </c>
      <c r="D9" s="49" t="s">
        <v>57</v>
      </c>
      <c r="E9" s="56" t="s">
        <v>19</v>
      </c>
      <c r="F9" s="51">
        <v>19757.0</v>
      </c>
      <c r="G9" s="52">
        <v>45002.0</v>
      </c>
      <c r="H9" s="53" t="str">
        <f t="shared" si="1"/>
        <v>March</v>
      </c>
      <c r="I9" s="54" t="str">
        <f t="shared" si="2"/>
        <v>5% Discount</v>
      </c>
      <c r="J9" s="53" t="str">
        <f t="shared" si="3"/>
        <v>Eligible for Discount</v>
      </c>
    </row>
    <row r="10" ht="14.25" customHeight="1">
      <c r="B10" s="55">
        <v>2007.0</v>
      </c>
      <c r="C10" s="49" t="s">
        <v>55</v>
      </c>
      <c r="D10" s="49" t="s">
        <v>56</v>
      </c>
      <c r="E10" s="50" t="s">
        <v>20</v>
      </c>
      <c r="F10" s="51">
        <v>32058.0</v>
      </c>
      <c r="G10" s="52">
        <v>45017.0</v>
      </c>
      <c r="H10" s="53" t="str">
        <f t="shared" si="1"/>
        <v>April</v>
      </c>
      <c r="I10" s="54" t="str">
        <f t="shared" si="2"/>
        <v>15% Discount</v>
      </c>
      <c r="J10" s="53" t="str">
        <f t="shared" si="3"/>
        <v>Eligible for Discount</v>
      </c>
    </row>
    <row r="11" ht="14.25" customHeight="1">
      <c r="B11" s="55">
        <v>2008.0</v>
      </c>
      <c r="C11" s="49" t="s">
        <v>51</v>
      </c>
      <c r="D11" s="49" t="s">
        <v>56</v>
      </c>
      <c r="E11" s="56" t="s">
        <v>21</v>
      </c>
      <c r="F11" s="51">
        <v>46429.0</v>
      </c>
      <c r="G11" s="52">
        <v>45032.0</v>
      </c>
      <c r="H11" s="53" t="str">
        <f t="shared" si="1"/>
        <v>April</v>
      </c>
      <c r="I11" s="54" t="str">
        <f t="shared" si="2"/>
        <v>15% Discount</v>
      </c>
      <c r="J11" s="53" t="str">
        <f t="shared" si="3"/>
        <v>Eligible for Discount</v>
      </c>
    </row>
    <row r="12" ht="14.25" customHeight="1">
      <c r="B12" s="55">
        <v>2009.0</v>
      </c>
      <c r="C12" s="49" t="s">
        <v>53</v>
      </c>
      <c r="D12" s="49" t="s">
        <v>56</v>
      </c>
      <c r="E12" s="50" t="s">
        <v>22</v>
      </c>
      <c r="F12" s="51">
        <v>19746.0</v>
      </c>
      <c r="G12" s="52">
        <v>45047.0</v>
      </c>
      <c r="H12" s="53" t="str">
        <f t="shared" si="1"/>
        <v>May</v>
      </c>
      <c r="I12" s="54" t="str">
        <f t="shared" si="2"/>
        <v>5% Discount</v>
      </c>
      <c r="J12" s="53" t="str">
        <f t="shared" si="3"/>
        <v>Eligible for Discount</v>
      </c>
    </row>
    <row r="13" ht="14.25" customHeight="1">
      <c r="B13" s="55">
        <v>2010.0</v>
      </c>
      <c r="C13" s="49" t="s">
        <v>51</v>
      </c>
      <c r="D13" s="49" t="s">
        <v>52</v>
      </c>
      <c r="E13" s="56" t="s">
        <v>23</v>
      </c>
      <c r="F13" s="51">
        <v>35185.0</v>
      </c>
      <c r="G13" s="52">
        <v>45062.0</v>
      </c>
      <c r="H13" s="53" t="str">
        <f t="shared" si="1"/>
        <v>May</v>
      </c>
      <c r="I13" s="54" t="str">
        <f t="shared" si="2"/>
        <v>15% Discount</v>
      </c>
      <c r="J13" s="53" t="str">
        <f t="shared" si="3"/>
        <v>Eligible for Discount</v>
      </c>
    </row>
    <row r="14" ht="14.25" customHeight="1">
      <c r="B14" s="55">
        <v>2011.0</v>
      </c>
      <c r="C14" s="49" t="s">
        <v>51</v>
      </c>
      <c r="D14" s="49" t="s">
        <v>56</v>
      </c>
      <c r="E14" s="50" t="s">
        <v>24</v>
      </c>
      <c r="F14" s="51">
        <v>33920.0</v>
      </c>
      <c r="G14" s="52">
        <v>45077.0</v>
      </c>
      <c r="H14" s="53" t="str">
        <f t="shared" si="1"/>
        <v>May</v>
      </c>
      <c r="I14" s="54" t="str">
        <f t="shared" si="2"/>
        <v>15% Discount</v>
      </c>
      <c r="J14" s="53" t="str">
        <f t="shared" si="3"/>
        <v>Eligible for Discount</v>
      </c>
    </row>
    <row r="15" ht="14.25" customHeight="1">
      <c r="B15" s="55">
        <v>2012.0</v>
      </c>
      <c r="C15" s="49" t="s">
        <v>58</v>
      </c>
      <c r="D15" s="49" t="s">
        <v>57</v>
      </c>
      <c r="E15" s="56" t="s">
        <v>25</v>
      </c>
      <c r="F15" s="51">
        <v>35611.0</v>
      </c>
      <c r="G15" s="52">
        <v>45092.0</v>
      </c>
      <c r="H15" s="53" t="str">
        <f t="shared" si="1"/>
        <v>June</v>
      </c>
      <c r="I15" s="54" t="str">
        <f t="shared" si="2"/>
        <v>15% Discount</v>
      </c>
      <c r="J15" s="53" t="str">
        <f t="shared" si="3"/>
        <v>Eligible for Discount</v>
      </c>
    </row>
    <row r="16" ht="14.25" customHeight="1">
      <c r="B16" s="55">
        <v>2013.0</v>
      </c>
      <c r="C16" s="49" t="s">
        <v>59</v>
      </c>
      <c r="D16" s="49" t="s">
        <v>56</v>
      </c>
      <c r="E16" s="50" t="s">
        <v>26</v>
      </c>
      <c r="F16" s="51">
        <v>15560.0</v>
      </c>
      <c r="G16" s="52">
        <v>45107.0</v>
      </c>
      <c r="H16" s="53" t="str">
        <f t="shared" si="1"/>
        <v>June</v>
      </c>
      <c r="I16" s="54" t="str">
        <f t="shared" si="2"/>
        <v>5% Discount</v>
      </c>
      <c r="J16" s="53" t="str">
        <f t="shared" si="3"/>
        <v>Eligible for Discount</v>
      </c>
    </row>
    <row r="17" ht="14.25" customHeight="1">
      <c r="B17" s="55">
        <v>2014.0</v>
      </c>
      <c r="C17" s="49" t="s">
        <v>59</v>
      </c>
      <c r="D17" s="49" t="s">
        <v>52</v>
      </c>
      <c r="E17" s="56" t="s">
        <v>27</v>
      </c>
      <c r="F17" s="51">
        <v>7283.0</v>
      </c>
      <c r="G17" s="52">
        <v>45122.0</v>
      </c>
      <c r="H17" s="53" t="str">
        <f t="shared" si="1"/>
        <v>July</v>
      </c>
      <c r="I17" s="54" t="str">
        <f t="shared" si="2"/>
        <v>No Discount</v>
      </c>
      <c r="J17" s="53" t="str">
        <f t="shared" si="3"/>
        <v>No Discount</v>
      </c>
    </row>
    <row r="18" ht="14.25" customHeight="1">
      <c r="B18" s="55">
        <v>2015.0</v>
      </c>
      <c r="C18" s="49" t="s">
        <v>59</v>
      </c>
      <c r="D18" s="49" t="s">
        <v>56</v>
      </c>
      <c r="E18" s="50" t="s">
        <v>28</v>
      </c>
      <c r="F18" s="51">
        <v>15678.0</v>
      </c>
      <c r="G18" s="52">
        <v>45137.0</v>
      </c>
      <c r="H18" s="53" t="str">
        <f t="shared" si="1"/>
        <v>July</v>
      </c>
      <c r="I18" s="54" t="str">
        <f t="shared" si="2"/>
        <v>5% Discount</v>
      </c>
      <c r="J18" s="53" t="str">
        <f t="shared" si="3"/>
        <v>Eligible for Discount</v>
      </c>
    </row>
    <row r="19" ht="14.25" customHeight="1">
      <c r="B19" s="55">
        <v>2016.0</v>
      </c>
      <c r="C19" s="49" t="s">
        <v>55</v>
      </c>
      <c r="D19" s="49" t="s">
        <v>56</v>
      </c>
      <c r="E19" s="56" t="s">
        <v>29</v>
      </c>
      <c r="F19" s="51">
        <v>5277.0</v>
      </c>
      <c r="G19" s="52">
        <v>45152.0</v>
      </c>
      <c r="H19" s="53" t="str">
        <f t="shared" si="1"/>
        <v>August</v>
      </c>
      <c r="I19" s="54" t="str">
        <f t="shared" si="2"/>
        <v>No Discount</v>
      </c>
      <c r="J19" s="53" t="str">
        <f t="shared" si="3"/>
        <v>No Discount</v>
      </c>
    </row>
    <row r="20" ht="14.25" customHeight="1">
      <c r="B20" s="55">
        <v>2017.0</v>
      </c>
      <c r="C20" s="49" t="s">
        <v>58</v>
      </c>
      <c r="D20" s="49" t="s">
        <v>57</v>
      </c>
      <c r="E20" s="50" t="s">
        <v>30</v>
      </c>
      <c r="F20" s="51">
        <v>41871.0</v>
      </c>
      <c r="G20" s="52">
        <v>45167.0</v>
      </c>
      <c r="H20" s="53" t="str">
        <f t="shared" si="1"/>
        <v>August</v>
      </c>
      <c r="I20" s="54" t="str">
        <f t="shared" si="2"/>
        <v>15% Discount</v>
      </c>
      <c r="J20" s="53" t="str">
        <f t="shared" si="3"/>
        <v>Eligible for Discount</v>
      </c>
    </row>
    <row r="21" ht="14.25" customHeight="1">
      <c r="B21" s="55">
        <v>2018.0</v>
      </c>
      <c r="C21" s="49" t="s">
        <v>58</v>
      </c>
      <c r="D21" s="49" t="s">
        <v>54</v>
      </c>
      <c r="E21" s="56" t="s">
        <v>31</v>
      </c>
      <c r="F21" s="51">
        <v>38161.0</v>
      </c>
      <c r="G21" s="52">
        <v>45182.0</v>
      </c>
      <c r="H21" s="53" t="str">
        <f t="shared" si="1"/>
        <v>September</v>
      </c>
      <c r="I21" s="54" t="str">
        <f t="shared" si="2"/>
        <v>15% Discount</v>
      </c>
      <c r="J21" s="53" t="str">
        <f t="shared" si="3"/>
        <v>Eligible for Discount</v>
      </c>
    </row>
    <row r="22" ht="14.25" customHeight="1">
      <c r="B22" s="55">
        <v>2019.0</v>
      </c>
      <c r="C22" s="49" t="s">
        <v>55</v>
      </c>
      <c r="D22" s="49" t="s">
        <v>54</v>
      </c>
      <c r="E22" s="50" t="s">
        <v>32</v>
      </c>
      <c r="F22" s="51">
        <v>30436.0</v>
      </c>
      <c r="G22" s="52">
        <v>45197.0</v>
      </c>
      <c r="H22" s="53" t="str">
        <f t="shared" si="1"/>
        <v>September</v>
      </c>
      <c r="I22" s="54" t="str">
        <f t="shared" si="2"/>
        <v>15% Discount</v>
      </c>
      <c r="J22" s="53" t="str">
        <f t="shared" si="3"/>
        <v>Eligible for Discount</v>
      </c>
    </row>
    <row r="23" ht="14.25" customHeight="1">
      <c r="B23" s="55">
        <v>2020.0</v>
      </c>
      <c r="C23" s="49" t="s">
        <v>53</v>
      </c>
      <c r="D23" s="49" t="s">
        <v>54</v>
      </c>
      <c r="E23" s="57" t="s">
        <v>33</v>
      </c>
      <c r="F23" s="51">
        <v>33953.0</v>
      </c>
      <c r="G23" s="52">
        <v>45212.0</v>
      </c>
      <c r="H23" s="53" t="str">
        <f t="shared" si="1"/>
        <v>October</v>
      </c>
      <c r="I23" s="54" t="str">
        <f t="shared" si="2"/>
        <v>15% Discount</v>
      </c>
      <c r="J23" s="53" t="str">
        <f t="shared" si="3"/>
        <v>Eligible for Discount</v>
      </c>
    </row>
    <row r="24" ht="14.25" customHeight="1"/>
    <row r="25" ht="14.25" customHeight="1"/>
    <row r="26" ht="14.25" customHeight="1">
      <c r="B26" s="58" t="s">
        <v>60</v>
      </c>
      <c r="C26" s="59"/>
      <c r="D26" s="60"/>
      <c r="F26" s="61" t="s">
        <v>61</v>
      </c>
      <c r="G26" s="29"/>
      <c r="I26" s="40" t="s">
        <v>62</v>
      </c>
      <c r="J26" s="32"/>
      <c r="K26" s="29"/>
    </row>
    <row r="27" ht="14.25" customHeight="1">
      <c r="B27" s="61" t="s">
        <v>42</v>
      </c>
      <c r="C27" s="29"/>
      <c r="D27" s="62">
        <v>2005.0</v>
      </c>
      <c r="F27" s="63" t="s">
        <v>57</v>
      </c>
      <c r="G27" s="63">
        <f>SUMIFS(F:F, D:D, "North", C:C, "Keyboard")</f>
        <v>43388</v>
      </c>
      <c r="I27" s="40" t="s">
        <v>63</v>
      </c>
      <c r="J27" s="29"/>
      <c r="K27" s="64">
        <f>SUMIF(C2:C21,"Printer",F2:F21)</f>
        <v>42438</v>
      </c>
    </row>
    <row r="28" ht="14.25" customHeight="1">
      <c r="B28" s="61" t="s">
        <v>64</v>
      </c>
      <c r="C28" s="29"/>
      <c r="D28" s="65">
        <f>VLOOKUP(D27,$B$4:$F$23,5,FALSE)</f>
        <v>43388</v>
      </c>
      <c r="F28" s="63" t="s">
        <v>52</v>
      </c>
      <c r="G28" s="63">
        <f>SUMIFS(F:F, D:D, "South", C:C, "Keyboard")</f>
        <v>42233</v>
      </c>
      <c r="I28" s="40" t="s">
        <v>55</v>
      </c>
      <c r="J28" s="29"/>
      <c r="K28" s="64">
        <f>SUMIF(C2:C21,"Mouse",F2:F21)</f>
        <v>80764</v>
      </c>
    </row>
    <row r="29" ht="14.25" customHeight="1">
      <c r="F29" s="63" t="s">
        <v>56</v>
      </c>
      <c r="G29" s="63">
        <f>SUMIFS(F:F, D:D, "East", C:C, "Keyboard")</f>
        <v>80349</v>
      </c>
    </row>
    <row r="30" ht="14.25" customHeight="1">
      <c r="F30" s="63" t="s">
        <v>54</v>
      </c>
      <c r="G30" s="63">
        <f>SUMIFS(F:F, D:D, "West", C:C, "Keybord")</f>
        <v>0</v>
      </c>
    </row>
    <row r="31" ht="14.25" customHeight="1">
      <c r="B31" s="66" t="s">
        <v>65</v>
      </c>
      <c r="C31" s="29"/>
    </row>
    <row r="32" ht="14.25" customHeight="1">
      <c r="B32" s="36" t="s">
        <v>42</v>
      </c>
      <c r="C32" s="36">
        <v>2005.0</v>
      </c>
      <c r="I32" s="61" t="s">
        <v>66</v>
      </c>
      <c r="J32" s="29"/>
    </row>
    <row r="33" ht="14.25" customHeight="1">
      <c r="B33" s="36" t="s">
        <v>67</v>
      </c>
      <c r="C33" s="36" t="str">
        <f t="array" ref="C33">INDEX(E2:E21, MATCH(C32, B2:B21, 5))</f>
        <v>Krishna</v>
      </c>
      <c r="E33" s="67" t="s">
        <v>68</v>
      </c>
      <c r="F33" s="29"/>
      <c r="I33" s="62" t="s">
        <v>69</v>
      </c>
      <c r="J33" s="65">
        <f t="array" ref="J33">XLOOKUP(E6, E2:E21, F2:F21, "No Data")</f>
        <v>23672</v>
      </c>
    </row>
    <row r="34" ht="14.25" customHeight="1">
      <c r="E34" s="68" t="s">
        <v>42</v>
      </c>
      <c r="F34" s="68">
        <v>2005.0</v>
      </c>
      <c r="I34" s="62"/>
      <c r="J34" s="62"/>
    </row>
    <row r="35" ht="14.25" customHeight="1">
      <c r="E35" s="68" t="s">
        <v>70</v>
      </c>
      <c r="F35" s="68" t="str">
        <f t="array" ref="F35">XLOOKUP(F34,Sheet2!$B$4:$B$23,Sheet2!$C$4:$C$23,"no Data",0)</f>
        <v>Keyboard</v>
      </c>
    </row>
    <row r="36" ht="14.25" customHeight="1"/>
    <row r="37" ht="14.25" customHeight="1"/>
    <row r="38" ht="14.25" customHeight="1">
      <c r="A38" s="69" t="s">
        <v>71</v>
      </c>
      <c r="B38" s="61" t="s">
        <v>72</v>
      </c>
      <c r="C38" s="29"/>
      <c r="E38" s="40" t="s">
        <v>73</v>
      </c>
      <c r="F38" s="32"/>
      <c r="G38" s="29"/>
    </row>
    <row r="39" ht="14.25" customHeight="1">
      <c r="B39" s="63" t="s">
        <v>51</v>
      </c>
      <c r="C39" s="63">
        <f>XMATCH("Keyboard", C2:C21)</f>
        <v>3</v>
      </c>
      <c r="E39" s="40">
        <f>AVERAGE(OFFSET(F2,0,0,5))</f>
        <v>16049.33333</v>
      </c>
      <c r="F39" s="32"/>
      <c r="G39" s="29"/>
    </row>
    <row r="40" ht="14.25" customHeight="1">
      <c r="B40" s="63" t="s">
        <v>55</v>
      </c>
      <c r="C40" s="63">
        <f>XMATCH("Mouse", C2:C21)</f>
        <v>5</v>
      </c>
    </row>
    <row r="41" ht="14.25" customHeight="1">
      <c r="B41" s="63" t="s">
        <v>53</v>
      </c>
      <c r="C41" s="63">
        <f>XMATCH("Printer", C2:C21)</f>
        <v>4</v>
      </c>
    </row>
    <row r="42" ht="14.25" customHeight="1">
      <c r="B42" s="63" t="s">
        <v>58</v>
      </c>
      <c r="C42" s="63">
        <f>XMATCH("Monitor", C2:C21)</f>
        <v>14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I28:J28"/>
    <mergeCell ref="I32:J32"/>
    <mergeCell ref="B31:C31"/>
    <mergeCell ref="B38:C38"/>
    <mergeCell ref="E38:G38"/>
    <mergeCell ref="E39:G39"/>
    <mergeCell ref="B26:D26"/>
    <mergeCell ref="F26:G26"/>
    <mergeCell ref="I26:K26"/>
    <mergeCell ref="B27:C27"/>
    <mergeCell ref="I27:J27"/>
    <mergeCell ref="B28:C28"/>
    <mergeCell ref="E33:F3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71"/>
    <col customWidth="1" min="3" max="3" width="13.29"/>
    <col customWidth="1" min="4" max="4" width="14.71"/>
    <col customWidth="1" min="5" max="5" width="15.71"/>
    <col customWidth="1" min="6" max="6" width="13.29"/>
    <col customWidth="1" min="7" max="7" width="21.57"/>
    <col customWidth="1" min="8" max="8" width="13.71"/>
    <col customWidth="1" min="9" max="9" width="15.29"/>
    <col customWidth="1" min="10" max="26" width="8.71"/>
  </cols>
  <sheetData>
    <row r="1" ht="14.25" customHeight="1">
      <c r="A1" s="70" t="s">
        <v>74</v>
      </c>
      <c r="B1" s="71" t="s">
        <v>1</v>
      </c>
      <c r="C1" s="71" t="s">
        <v>75</v>
      </c>
      <c r="D1" s="71" t="s">
        <v>76</v>
      </c>
      <c r="E1" s="71" t="s">
        <v>77</v>
      </c>
      <c r="F1" s="71" t="s">
        <v>78</v>
      </c>
      <c r="G1" s="71" t="s">
        <v>79</v>
      </c>
      <c r="H1" s="71" t="s">
        <v>80</v>
      </c>
      <c r="I1" s="72" t="s">
        <v>81</v>
      </c>
    </row>
    <row r="2" ht="14.25" customHeight="1">
      <c r="A2" s="48">
        <v>3001.0</v>
      </c>
      <c r="B2" s="73" t="s">
        <v>14</v>
      </c>
      <c r="C2" s="49" t="s">
        <v>82</v>
      </c>
      <c r="D2" s="51">
        <v>86766.0</v>
      </c>
      <c r="E2" s="52">
        <v>42005.0</v>
      </c>
      <c r="F2" s="74" t="str">
        <f t="shared" ref="F2:F21" si="1">UPPER(B2)</f>
        <v>PRITHWI</v>
      </c>
      <c r="G2" s="75">
        <f t="shared" ref="G2:G21" si="2"> NOW()-E2</f>
        <v>4052.257065</v>
      </c>
      <c r="H2" s="76">
        <f t="shared" ref="H2:H21" si="3">IF(D2&gt;=50000,D2*10%,
 IF(D2&gt;=40000,D2*5%,
 0))</f>
        <v>8676.6</v>
      </c>
      <c r="I2" s="77" t="str">
        <f t="shared" ref="I2:I21" si="4">IF(D2&gt;=50000,"10% Bonus",
 IF(D2&gt;=40000,"5% Bonus",
 "No Bonus"))</f>
        <v>10% Bonus</v>
      </c>
    </row>
    <row r="3" ht="14.25" customHeight="1">
      <c r="A3" s="48">
        <v>3002.0</v>
      </c>
      <c r="B3" s="78" t="s">
        <v>15</v>
      </c>
      <c r="C3" s="49" t="s">
        <v>82</v>
      </c>
      <c r="D3" s="51">
        <v>31943.0</v>
      </c>
      <c r="E3" s="52">
        <v>42255.0</v>
      </c>
      <c r="F3" s="74" t="str">
        <f t="shared" si="1"/>
        <v>ROSHAN</v>
      </c>
      <c r="G3" s="75">
        <f t="shared" si="2"/>
        <v>3802.257065</v>
      </c>
      <c r="H3" s="76">
        <f t="shared" si="3"/>
        <v>0</v>
      </c>
      <c r="I3" s="77" t="str">
        <f t="shared" si="4"/>
        <v>No Bonus</v>
      </c>
    </row>
    <row r="4" ht="14.25" customHeight="1">
      <c r="A4" s="48">
        <v>3003.0</v>
      </c>
      <c r="B4" s="73" t="s">
        <v>16</v>
      </c>
      <c r="C4" s="49" t="s">
        <v>83</v>
      </c>
      <c r="D4" s="51">
        <v>63374.0</v>
      </c>
      <c r="E4" s="52">
        <v>42505.0</v>
      </c>
      <c r="F4" s="74" t="str">
        <f t="shared" si="1"/>
        <v>DEVIL </v>
      </c>
      <c r="G4" s="75">
        <f t="shared" si="2"/>
        <v>3552.257065</v>
      </c>
      <c r="H4" s="76">
        <f t="shared" si="3"/>
        <v>6337.4</v>
      </c>
      <c r="I4" s="77" t="str">
        <f t="shared" si="4"/>
        <v>10% Bonus</v>
      </c>
    </row>
    <row r="5" ht="14.25" customHeight="1">
      <c r="A5" s="48">
        <v>3004.0</v>
      </c>
      <c r="B5" s="78" t="s">
        <v>17</v>
      </c>
      <c r="C5" s="49" t="s">
        <v>82</v>
      </c>
      <c r="D5" s="51">
        <v>109972.0</v>
      </c>
      <c r="E5" s="52">
        <v>42755.0</v>
      </c>
      <c r="F5" s="74" t="str">
        <f t="shared" si="1"/>
        <v>SHIV</v>
      </c>
      <c r="G5" s="75">
        <f t="shared" si="2"/>
        <v>3302.257065</v>
      </c>
      <c r="H5" s="76">
        <f t="shared" si="3"/>
        <v>10997.2</v>
      </c>
      <c r="I5" s="77" t="str">
        <f t="shared" si="4"/>
        <v>10% Bonus</v>
      </c>
    </row>
    <row r="6" ht="14.25" customHeight="1">
      <c r="A6" s="48">
        <v>3005.0</v>
      </c>
      <c r="B6" s="73" t="s">
        <v>18</v>
      </c>
      <c r="C6" s="49" t="s">
        <v>84</v>
      </c>
      <c r="D6" s="51">
        <v>54149.0</v>
      </c>
      <c r="E6" s="52">
        <v>43005.0</v>
      </c>
      <c r="F6" s="74" t="str">
        <f t="shared" si="1"/>
        <v>KRISHNA</v>
      </c>
      <c r="G6" s="75">
        <f t="shared" si="2"/>
        <v>3052.257065</v>
      </c>
      <c r="H6" s="76">
        <f t="shared" si="3"/>
        <v>5414.9</v>
      </c>
      <c r="I6" s="77" t="str">
        <f t="shared" si="4"/>
        <v>10% Bonus</v>
      </c>
    </row>
    <row r="7" ht="14.25" customHeight="1">
      <c r="A7" s="48">
        <v>3006.0</v>
      </c>
      <c r="B7" s="78" t="s">
        <v>19</v>
      </c>
      <c r="C7" s="49" t="s">
        <v>84</v>
      </c>
      <c r="D7" s="51">
        <v>78689.0</v>
      </c>
      <c r="E7" s="52">
        <v>43255.0</v>
      </c>
      <c r="F7" s="74" t="str">
        <f t="shared" si="1"/>
        <v>RAM</v>
      </c>
      <c r="G7" s="75">
        <f t="shared" si="2"/>
        <v>2802.257065</v>
      </c>
      <c r="H7" s="76">
        <f t="shared" si="3"/>
        <v>7868.9</v>
      </c>
      <c r="I7" s="77" t="str">
        <f t="shared" si="4"/>
        <v>10% Bonus</v>
      </c>
    </row>
    <row r="8" ht="14.25" customHeight="1">
      <c r="A8" s="48">
        <v>3007.0</v>
      </c>
      <c r="B8" s="73" t="s">
        <v>20</v>
      </c>
      <c r="C8" s="49" t="s">
        <v>85</v>
      </c>
      <c r="D8" s="51">
        <v>35960.0</v>
      </c>
      <c r="E8" s="52">
        <v>43505.0</v>
      </c>
      <c r="F8" s="74" t="str">
        <f t="shared" si="1"/>
        <v>RAHUL</v>
      </c>
      <c r="G8" s="75">
        <f t="shared" si="2"/>
        <v>2552.257065</v>
      </c>
      <c r="H8" s="76">
        <f t="shared" si="3"/>
        <v>0</v>
      </c>
      <c r="I8" s="77" t="str">
        <f t="shared" si="4"/>
        <v>No Bonus</v>
      </c>
    </row>
    <row r="9" ht="14.25" customHeight="1">
      <c r="A9" s="48">
        <v>3008.0</v>
      </c>
      <c r="B9" s="78" t="s">
        <v>21</v>
      </c>
      <c r="C9" s="49" t="s">
        <v>84</v>
      </c>
      <c r="D9" s="51">
        <v>91659.0</v>
      </c>
      <c r="E9" s="52">
        <v>43755.0</v>
      </c>
      <c r="F9" s="74" t="str">
        <f t="shared" si="1"/>
        <v>ANAND</v>
      </c>
      <c r="G9" s="75">
        <f t="shared" si="2"/>
        <v>2302.257065</v>
      </c>
      <c r="H9" s="76">
        <f t="shared" si="3"/>
        <v>9165.9</v>
      </c>
      <c r="I9" s="77" t="str">
        <f t="shared" si="4"/>
        <v>10% Bonus</v>
      </c>
    </row>
    <row r="10" ht="14.25" customHeight="1">
      <c r="A10" s="48">
        <v>3009.0</v>
      </c>
      <c r="B10" s="73" t="s">
        <v>22</v>
      </c>
      <c r="C10" s="49" t="s">
        <v>84</v>
      </c>
      <c r="D10" s="51">
        <v>90423.0</v>
      </c>
      <c r="E10" s="52">
        <v>44005.0</v>
      </c>
      <c r="F10" s="74" t="str">
        <f t="shared" si="1"/>
        <v>SAM</v>
      </c>
      <c r="G10" s="75">
        <f t="shared" si="2"/>
        <v>2052.257065</v>
      </c>
      <c r="H10" s="76">
        <f t="shared" si="3"/>
        <v>9042.3</v>
      </c>
      <c r="I10" s="77" t="str">
        <f t="shared" si="4"/>
        <v>10% Bonus</v>
      </c>
    </row>
    <row r="11" ht="14.25" customHeight="1">
      <c r="A11" s="48">
        <v>3010.0</v>
      </c>
      <c r="B11" s="78" t="s">
        <v>23</v>
      </c>
      <c r="C11" s="49" t="s">
        <v>83</v>
      </c>
      <c r="D11" s="51">
        <v>107877.0</v>
      </c>
      <c r="E11" s="52">
        <v>44255.0</v>
      </c>
      <c r="F11" s="74" t="str">
        <f t="shared" si="1"/>
        <v>ARAV</v>
      </c>
      <c r="G11" s="75">
        <f t="shared" si="2"/>
        <v>1802.257065</v>
      </c>
      <c r="H11" s="76">
        <f t="shared" si="3"/>
        <v>10787.7</v>
      </c>
      <c r="I11" s="77" t="str">
        <f t="shared" si="4"/>
        <v>10% Bonus</v>
      </c>
    </row>
    <row r="12" ht="14.25" customHeight="1">
      <c r="A12" s="48">
        <v>3011.0</v>
      </c>
      <c r="B12" s="73" t="s">
        <v>24</v>
      </c>
      <c r="C12" s="49" t="s">
        <v>82</v>
      </c>
      <c r="D12" s="51">
        <v>107634.0</v>
      </c>
      <c r="E12" s="52">
        <v>44505.0</v>
      </c>
      <c r="F12" s="74" t="str">
        <f t="shared" si="1"/>
        <v>MADHU</v>
      </c>
      <c r="G12" s="75">
        <f t="shared" si="2"/>
        <v>1552.257065</v>
      </c>
      <c r="H12" s="76">
        <f t="shared" si="3"/>
        <v>10763.4</v>
      </c>
      <c r="I12" s="77" t="str">
        <f t="shared" si="4"/>
        <v>10% Bonus</v>
      </c>
    </row>
    <row r="13" ht="14.25" customHeight="1">
      <c r="A13" s="48">
        <v>3012.0</v>
      </c>
      <c r="B13" s="78" t="s">
        <v>25</v>
      </c>
      <c r="C13" s="49" t="s">
        <v>82</v>
      </c>
      <c r="D13" s="51">
        <v>35226.0</v>
      </c>
      <c r="E13" s="52">
        <v>44755.0</v>
      </c>
      <c r="F13" s="74" t="str">
        <f t="shared" si="1"/>
        <v>DANY</v>
      </c>
      <c r="G13" s="75">
        <f t="shared" si="2"/>
        <v>1302.257065</v>
      </c>
      <c r="H13" s="76">
        <f t="shared" si="3"/>
        <v>0</v>
      </c>
      <c r="I13" s="77" t="str">
        <f t="shared" si="4"/>
        <v>No Bonus</v>
      </c>
    </row>
    <row r="14" ht="14.25" customHeight="1">
      <c r="A14" s="48">
        <v>3013.0</v>
      </c>
      <c r="B14" s="73" t="s">
        <v>26</v>
      </c>
      <c r="C14" s="49" t="s">
        <v>83</v>
      </c>
      <c r="D14" s="51">
        <v>40872.0</v>
      </c>
      <c r="E14" s="52">
        <v>45005.0</v>
      </c>
      <c r="F14" s="74" t="str">
        <f t="shared" si="1"/>
        <v>DRAGON</v>
      </c>
      <c r="G14" s="75">
        <f t="shared" si="2"/>
        <v>1052.257065</v>
      </c>
      <c r="H14" s="76">
        <f t="shared" si="3"/>
        <v>2043.6</v>
      </c>
      <c r="I14" s="77" t="str">
        <f t="shared" si="4"/>
        <v>5% Bonus</v>
      </c>
    </row>
    <row r="15" ht="14.25" customHeight="1">
      <c r="A15" s="48">
        <v>3014.0</v>
      </c>
      <c r="B15" s="78" t="s">
        <v>27</v>
      </c>
      <c r="C15" s="49" t="s">
        <v>83</v>
      </c>
      <c r="D15" s="51">
        <v>55378.0</v>
      </c>
      <c r="E15" s="52">
        <v>45255.0</v>
      </c>
      <c r="F15" s="74" t="str">
        <f t="shared" si="1"/>
        <v>DARSHAN</v>
      </c>
      <c r="G15" s="75">
        <f t="shared" si="2"/>
        <v>802.2570651</v>
      </c>
      <c r="H15" s="76">
        <f t="shared" si="3"/>
        <v>5537.8</v>
      </c>
      <c r="I15" s="77" t="str">
        <f t="shared" si="4"/>
        <v>10% Bonus</v>
      </c>
    </row>
    <row r="16" ht="14.25" customHeight="1">
      <c r="A16" s="48">
        <v>3015.0</v>
      </c>
      <c r="B16" s="73" t="s">
        <v>28</v>
      </c>
      <c r="C16" s="49" t="s">
        <v>83</v>
      </c>
      <c r="D16" s="51">
        <v>63297.0</v>
      </c>
      <c r="E16" s="52">
        <v>45505.0</v>
      </c>
      <c r="F16" s="74" t="str">
        <f t="shared" si="1"/>
        <v>RAJ</v>
      </c>
      <c r="G16" s="75">
        <f t="shared" si="2"/>
        <v>552.2570651</v>
      </c>
      <c r="H16" s="76">
        <f t="shared" si="3"/>
        <v>6329.7</v>
      </c>
      <c r="I16" s="77" t="str">
        <f t="shared" si="4"/>
        <v>10% Bonus</v>
      </c>
    </row>
    <row r="17" ht="14.25" customHeight="1">
      <c r="A17" s="48">
        <v>3016.0</v>
      </c>
      <c r="B17" s="78" t="s">
        <v>29</v>
      </c>
      <c r="C17" s="49" t="s">
        <v>82</v>
      </c>
      <c r="D17" s="51">
        <v>114173.0</v>
      </c>
      <c r="E17" s="52">
        <v>45755.0</v>
      </c>
      <c r="F17" s="74" t="str">
        <f t="shared" si="1"/>
        <v>RADHA</v>
      </c>
      <c r="G17" s="75">
        <f t="shared" si="2"/>
        <v>302.2570651</v>
      </c>
      <c r="H17" s="76">
        <f t="shared" si="3"/>
        <v>11417.3</v>
      </c>
      <c r="I17" s="77" t="str">
        <f t="shared" si="4"/>
        <v>10% Bonus</v>
      </c>
    </row>
    <row r="18" ht="14.25" customHeight="1">
      <c r="A18" s="48">
        <v>3017.0</v>
      </c>
      <c r="B18" s="73" t="s">
        <v>30</v>
      </c>
      <c r="C18" s="49" t="s">
        <v>83</v>
      </c>
      <c r="D18" s="51">
        <v>86915.0</v>
      </c>
      <c r="E18" s="52">
        <v>46005.0</v>
      </c>
      <c r="F18" s="74" t="str">
        <f t="shared" si="1"/>
        <v>SOM</v>
      </c>
      <c r="G18" s="75">
        <f t="shared" si="2"/>
        <v>52.25706509</v>
      </c>
      <c r="H18" s="76">
        <f t="shared" si="3"/>
        <v>8691.5</v>
      </c>
      <c r="I18" s="77" t="str">
        <f t="shared" si="4"/>
        <v>10% Bonus</v>
      </c>
    </row>
    <row r="19" ht="14.25" customHeight="1">
      <c r="A19" s="48">
        <v>3018.0</v>
      </c>
      <c r="B19" s="78" t="s">
        <v>31</v>
      </c>
      <c r="C19" s="49" t="s">
        <v>84</v>
      </c>
      <c r="D19" s="51">
        <v>116284.0</v>
      </c>
      <c r="E19" s="52">
        <v>46255.0</v>
      </c>
      <c r="F19" s="74" t="str">
        <f t="shared" si="1"/>
        <v>ASMITA</v>
      </c>
      <c r="G19" s="75">
        <f t="shared" si="2"/>
        <v>-197.7429349</v>
      </c>
      <c r="H19" s="76">
        <f t="shared" si="3"/>
        <v>11628.4</v>
      </c>
      <c r="I19" s="77" t="str">
        <f t="shared" si="4"/>
        <v>10% Bonus</v>
      </c>
    </row>
    <row r="20" ht="14.25" customHeight="1">
      <c r="A20" s="48">
        <v>3019.0</v>
      </c>
      <c r="B20" s="73" t="s">
        <v>32</v>
      </c>
      <c r="C20" s="49" t="s">
        <v>85</v>
      </c>
      <c r="D20" s="51">
        <v>116283.0</v>
      </c>
      <c r="E20" s="52">
        <v>46505.0</v>
      </c>
      <c r="F20" s="74" t="str">
        <f t="shared" si="1"/>
        <v>NITESH</v>
      </c>
      <c r="G20" s="75">
        <f t="shared" si="2"/>
        <v>-447.7429349</v>
      </c>
      <c r="H20" s="76">
        <f t="shared" si="3"/>
        <v>11628.3</v>
      </c>
      <c r="I20" s="77" t="str">
        <f t="shared" si="4"/>
        <v>10% Bonus</v>
      </c>
    </row>
    <row r="21" ht="14.25" customHeight="1">
      <c r="A21" s="79">
        <v>3020.0</v>
      </c>
      <c r="B21" s="80" t="s">
        <v>33</v>
      </c>
      <c r="C21" s="81" t="s">
        <v>85</v>
      </c>
      <c r="D21" s="82">
        <v>99924.0</v>
      </c>
      <c r="E21" s="83">
        <v>46755.0</v>
      </c>
      <c r="F21" s="84" t="str">
        <f t="shared" si="1"/>
        <v>ROHIT</v>
      </c>
      <c r="G21" s="85">
        <f t="shared" si="2"/>
        <v>-697.7429349</v>
      </c>
      <c r="H21" s="86">
        <f t="shared" si="3"/>
        <v>9992.4</v>
      </c>
      <c r="I21" s="87" t="str">
        <f t="shared" si="4"/>
        <v>10% Bonus</v>
      </c>
    </row>
    <row r="22" ht="14.25" customHeight="1">
      <c r="E22" s="88"/>
      <c r="I22" s="89"/>
    </row>
    <row r="23" ht="14.25" customHeight="1">
      <c r="I23" s="89"/>
    </row>
    <row r="24" ht="14.25" customHeight="1">
      <c r="A24" s="90" t="s">
        <v>86</v>
      </c>
      <c r="B24" s="90"/>
    </row>
    <row r="25" ht="14.25" customHeight="1">
      <c r="A25" s="68" t="s">
        <v>87</v>
      </c>
      <c r="B25" s="68" t="s">
        <v>88</v>
      </c>
      <c r="G25" s="91" t="s">
        <v>89</v>
      </c>
      <c r="H25" s="60"/>
    </row>
    <row r="26" ht="14.25" customHeight="1">
      <c r="A26" s="68" t="s">
        <v>84</v>
      </c>
      <c r="B26" s="68">
        <f>COUNTIFS(C2:C21,"It",D2:D21,"&gt;80000")</f>
        <v>3</v>
      </c>
      <c r="G26" s="92" t="s">
        <v>90</v>
      </c>
      <c r="H26" s="93" t="s">
        <v>91</v>
      </c>
      <c r="J26" s="39" t="s">
        <v>92</v>
      </c>
      <c r="K26" s="32"/>
      <c r="L26" s="32"/>
      <c r="M26" s="29"/>
    </row>
    <row r="27" ht="14.25" customHeight="1">
      <c r="A27" s="68" t="s">
        <v>83</v>
      </c>
      <c r="B27" s="68">
        <f>COUNTIFS(C2:C21,"hr",D2:D21,"&gt;80000")</f>
        <v>2</v>
      </c>
      <c r="D27" s="40" t="s">
        <v>93</v>
      </c>
      <c r="E27" s="29"/>
      <c r="G27" s="92" t="str">
        <f t="array" ref="G27">_xlws.FILTER(A2:B21,D2:D21&gt;100000, "No Employee Found")</f>
        <v>#NAME?</v>
      </c>
      <c r="H27" s="92"/>
      <c r="J27" s="40" t="s">
        <v>94</v>
      </c>
      <c r="K27" s="29"/>
      <c r="L27" s="94">
        <v>3005.0</v>
      </c>
      <c r="M27" s="94"/>
    </row>
    <row r="28" ht="14.25" customHeight="1">
      <c r="A28" s="68" t="s">
        <v>85</v>
      </c>
      <c r="B28" s="68">
        <f>COUNTIFS(C2:C21,"marketing",D2:D21,"&gt;80000")</f>
        <v>2</v>
      </c>
      <c r="D28" s="94" t="s">
        <v>95</v>
      </c>
      <c r="E28" s="94" t="s">
        <v>83</v>
      </c>
      <c r="G28" s="92"/>
      <c r="H28" s="92"/>
      <c r="J28" s="40" t="s">
        <v>96</v>
      </c>
      <c r="K28" s="29"/>
      <c r="L28" s="95">
        <f>VLOOKUP(L27,A2:E21,4,0)</f>
        <v>54149</v>
      </c>
      <c r="M28" s="94"/>
    </row>
    <row r="29" ht="14.25" customHeight="1">
      <c r="A29" s="68" t="s">
        <v>82</v>
      </c>
      <c r="B29" s="68">
        <f>COUNTIFS(C2:C21,"finance",D2:D21,"&gt;80000")</f>
        <v>4</v>
      </c>
      <c r="D29" s="94" t="s">
        <v>97</v>
      </c>
      <c r="E29" s="94">
        <f>SUMIFS(D2:D21, C2:C21, E28)</f>
        <v>417713</v>
      </c>
      <c r="G29" s="92"/>
      <c r="H29" s="92"/>
    </row>
    <row r="30" ht="14.25" customHeight="1">
      <c r="G30" s="92"/>
      <c r="H30" s="92"/>
    </row>
    <row r="31" ht="14.25" customHeight="1">
      <c r="G31" s="92"/>
      <c r="H31" s="92"/>
    </row>
    <row r="32" ht="14.25" customHeight="1">
      <c r="D32" s="96" t="s">
        <v>98</v>
      </c>
      <c r="E32" s="29"/>
      <c r="G32" s="92"/>
      <c r="H32" s="92"/>
    </row>
    <row r="33" ht="14.25" customHeight="1">
      <c r="D33" s="97" t="s">
        <v>99</v>
      </c>
      <c r="E33" s="98">
        <f>AVERAGE(OFFSET(D2,0,0,10))</f>
        <v>75081.2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G25:H25"/>
    <mergeCell ref="J26:M26"/>
    <mergeCell ref="D27:E27"/>
    <mergeCell ref="J27:K27"/>
    <mergeCell ref="J28:K28"/>
    <mergeCell ref="D32:E3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2026-01-30T02:55:42Z</dcterms:created>
  <dc:creator>Roshan Marathe</dc:creator>
</cp:coreProperties>
</file>